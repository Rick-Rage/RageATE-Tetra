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geATE\Instruments\Ess Temp Plate\"/>
    </mc:Choice>
  </mc:AlternateContent>
  <xr:revisionPtr revIDLastSave="0" documentId="8_{4450247F-23B4-457D-93E9-0B3FABCDDF59}" xr6:coauthVersionLast="46" xr6:coauthVersionMax="46" xr10:uidLastSave="{00000000-0000-0000-0000-000000000000}"/>
  <bookViews>
    <workbookView xWindow="-120" yWindow="-120" windowWidth="29040" windowHeight="15840" xr2:uid="{A3E6B67E-1423-459C-839B-84AF2B5C563B}"/>
  </bookViews>
  <sheets>
    <sheet name="PM Express Menus" sheetId="1" r:id="rId1"/>
  </sheets>
  <definedNames>
    <definedName name="_xlnm._FilterDatabase" localSheetId="0" hidden="1">'PM Express Menus'!$D$1:$P$278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7" i="1" l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4" i="1"/>
  <c r="Q73" i="1"/>
  <c r="Q72" i="1"/>
  <c r="Q71" i="1"/>
  <c r="Q70" i="1"/>
  <c r="Q69" i="1"/>
  <c r="Q68" i="1"/>
  <c r="Q66" i="1"/>
  <c r="Q65" i="1"/>
  <c r="Q64" i="1"/>
  <c r="Q63" i="1"/>
  <c r="Q62" i="1"/>
  <c r="Q61" i="1"/>
  <c r="Q60" i="1"/>
  <c r="Q58" i="1"/>
  <c r="Q56" i="1"/>
  <c r="Q54" i="1"/>
  <c r="Q52" i="1"/>
  <c r="Q50" i="1"/>
  <c r="Q49" i="1"/>
  <c r="Q48" i="1"/>
  <c r="Q47" i="1"/>
  <c r="Q46" i="1"/>
  <c r="Q45" i="1"/>
  <c r="Q44" i="1"/>
  <c r="Q42" i="1"/>
  <c r="Q41" i="1"/>
  <c r="Q40" i="1"/>
  <c r="Q39" i="1"/>
  <c r="Q38" i="1"/>
  <c r="Q37" i="1"/>
  <c r="Q36" i="1"/>
  <c r="Q34" i="1"/>
  <c r="Q33" i="1"/>
  <c r="Q32" i="1"/>
  <c r="Q31" i="1"/>
  <c r="Q29" i="1"/>
  <c r="Q28" i="1"/>
  <c r="Q26" i="1"/>
  <c r="Q25" i="1"/>
  <c r="Q24" i="1"/>
  <c r="Q23" i="1"/>
  <c r="Q22" i="1"/>
  <c r="Q20" i="1"/>
  <c r="Q19" i="1"/>
  <c r="Q17" i="1"/>
  <c r="Q16" i="1"/>
  <c r="Q15" i="1"/>
  <c r="Q14" i="1"/>
  <c r="Q13" i="1"/>
  <c r="Q12" i="1"/>
  <c r="Q11" i="1"/>
  <c r="Q10" i="1"/>
  <c r="Q9" i="1"/>
  <c r="Q7" i="1"/>
  <c r="Q6" i="1"/>
  <c r="Q4" i="1"/>
  <c r="Q3" i="1"/>
  <c r="Q2" i="1"/>
</calcChain>
</file>

<file path=xl/sharedStrings.xml><?xml version="1.0" encoding="utf-8"?>
<sst xmlns="http://schemas.openxmlformats.org/spreadsheetml/2006/main" count="658" uniqueCount="206">
  <si>
    <t>Menu
7-Seg</t>
  </si>
  <si>
    <t>Page
7-Seg</t>
  </si>
  <si>
    <t>Menu</t>
  </si>
  <si>
    <t>Page</t>
  </si>
  <si>
    <t>Menu Visible</t>
  </si>
  <si>
    <t>Menu Security</t>
  </si>
  <si>
    <t>Instance</t>
  </si>
  <si>
    <t>Instance Visible</t>
  </si>
  <si>
    <t>Class ID</t>
  </si>
  <si>
    <t>Instance ID</t>
  </si>
  <si>
    <t>Member ID</t>
  </si>
  <si>
    <t>Class ID Name</t>
  </si>
  <si>
    <t>Default
Value
7-Seg</t>
  </si>
  <si>
    <t>Parameter Value
7-Seg</t>
  </si>
  <si>
    <t>Member ID Name</t>
  </si>
  <si>
    <t>Parameter
ID</t>
  </si>
  <si>
    <t>Analog Input</t>
  </si>
  <si>
    <t>Operations</t>
  </si>
  <si>
    <t>always</t>
  </si>
  <si>
    <t>1</t>
  </si>
  <si>
    <t>0x04</t>
  </si>
  <si>
    <t>0x01</t>
  </si>
  <si>
    <t>AIN</t>
  </si>
  <si>
    <t>Value</t>
  </si>
  <si>
    <t>0x02</t>
  </si>
  <si>
    <t>Error Status</t>
  </si>
  <si>
    <t>0x0C</t>
  </si>
  <si>
    <t>Calibration Offset</t>
  </si>
  <si>
    <t>Limit</t>
  </si>
  <si>
    <t>If 3rd digit of model number is an L</t>
  </si>
  <si>
    <t>0x03</t>
  </si>
  <si>
    <t>LIM</t>
  </si>
  <si>
    <t>Low Limit Set Point</t>
  </si>
  <si>
    <t>High Limit Set Point</t>
  </si>
  <si>
    <t>Control Loop</t>
  </si>
  <si>
    <t>If 3rd digit of model number is a C</t>
  </si>
  <si>
    <t>0x08</t>
  </si>
  <si>
    <t>CLP</t>
  </si>
  <si>
    <t>Control Mode</t>
  </si>
  <si>
    <t>0x1A</t>
  </si>
  <si>
    <t>Autotune</t>
  </si>
  <si>
    <t>0x07</t>
  </si>
  <si>
    <t>SET</t>
  </si>
  <si>
    <t>Set Point</t>
  </si>
  <si>
    <t>0x09</t>
  </si>
  <si>
    <t>Heat Proportional Band</t>
  </si>
  <si>
    <t>0x0A</t>
  </si>
  <si>
    <t>On/Off Heat Hysteresis</t>
  </si>
  <si>
    <t>Cool Proportional Band</t>
  </si>
  <si>
    <t>0x06</t>
  </si>
  <si>
    <t>Time Integral</t>
  </si>
  <si>
    <t>Time Derivative</t>
  </si>
  <si>
    <t>Manual Power</t>
  </si>
  <si>
    <t>Alarm</t>
  </si>
  <si>
    <t>ALM</t>
  </si>
  <si>
    <t>Low Set Point</t>
  </si>
  <si>
    <t>High Set Point</t>
  </si>
  <si>
    <t>Express Setup</t>
  </si>
  <si>
    <t>0x05</t>
  </si>
  <si>
    <t xml:space="preserve">Sensor Type </t>
  </si>
  <si>
    <t>Setup</t>
  </si>
  <si>
    <t>TC Linearization</t>
  </si>
  <si>
    <t>0x11</t>
  </si>
  <si>
    <t xml:space="preserve">Scale Low </t>
  </si>
  <si>
    <t>0x12</t>
  </si>
  <si>
    <t xml:space="preserve">Scale High </t>
  </si>
  <si>
    <t>0x14</t>
  </si>
  <si>
    <t>Display Precision</t>
  </si>
  <si>
    <t>Sides</t>
  </si>
  <si>
    <t>Hysteresis</t>
  </si>
  <si>
    <t>Heat Algorithm</t>
  </si>
  <si>
    <t>Cool Algorithm</t>
  </si>
  <si>
    <t>0x0E</t>
  </si>
  <si>
    <t xml:space="preserve">Ramp Action </t>
  </si>
  <si>
    <t>Ramp Rate</t>
  </si>
  <si>
    <t>Output</t>
  </si>
  <si>
    <t>If digits 5 or 6</t>
  </si>
  <si>
    <t>1 - 2</t>
  </si>
  <si>
    <t>Instance 1 if 5th digit is not an A
Instance 2 if 6th digit is not an A</t>
  </si>
  <si>
    <t>DIO</t>
  </si>
  <si>
    <t>Output Function (output digital)</t>
  </si>
  <si>
    <t>Fixed Time Base</t>
  </si>
  <si>
    <t>High Power Scale</t>
  </si>
  <si>
    <t>AOT</t>
  </si>
  <si>
    <t>Output Type (output process)</t>
  </si>
  <si>
    <t>Output Function</t>
  </si>
  <si>
    <t>Scale Low</t>
  </si>
  <si>
    <t>Scale High</t>
  </si>
  <si>
    <t>0x0F</t>
  </si>
  <si>
    <t>Type</t>
  </si>
  <si>
    <t>Logic</t>
  </si>
  <si>
    <t>Latching</t>
  </si>
  <si>
    <t>Blocking</t>
  </si>
  <si>
    <t>Silencing</t>
  </si>
  <si>
    <t>0x10</t>
  </si>
  <si>
    <t>Alarm Display</t>
  </si>
  <si>
    <t>Global</t>
  </si>
  <si>
    <t>DSP</t>
  </si>
  <si>
    <t>Display Units</t>
  </si>
  <si>
    <t>Communications</t>
  </si>
  <si>
    <t>COM</t>
  </si>
  <si>
    <t>Standard Bus Address</t>
  </si>
  <si>
    <t>Custom</t>
  </si>
  <si>
    <t>Factory</t>
  </si>
  <si>
    <t>CSU</t>
  </si>
  <si>
    <t>Parameter</t>
  </si>
  <si>
    <t>Security</t>
  </si>
  <si>
    <t>0x0B</t>
  </si>
  <si>
    <t>Set Lockout Security</t>
  </si>
  <si>
    <t>Diagnostics</t>
  </si>
  <si>
    <t>DEV</t>
  </si>
  <si>
    <t>Part Number</t>
  </si>
  <si>
    <t>Software Revision</t>
  </si>
  <si>
    <t>Software Build</t>
  </si>
  <si>
    <t>0x20</t>
  </si>
  <si>
    <t>Serial Number</t>
  </si>
  <si>
    <t>Date of Manufacture</t>
  </si>
  <si>
    <t>0x0D</t>
  </si>
  <si>
    <t>Restore Settings From</t>
  </si>
  <si>
    <t>Zone</t>
  </si>
  <si>
    <t>Calibration</t>
  </si>
  <si>
    <t>0x15</t>
  </si>
  <si>
    <t>Electrical Measurement</t>
  </si>
  <si>
    <t>Electrical Input Offset</t>
  </si>
  <si>
    <t>Electrical Input Slope</t>
  </si>
  <si>
    <t>If 5th digit is F</t>
  </si>
  <si>
    <t>Public Key</t>
  </si>
  <si>
    <t>0x2E</t>
  </si>
  <si>
    <t>Electrical Output Offset</t>
  </si>
  <si>
    <t>0x2F</t>
  </si>
  <si>
    <t>Electrical Output Slope</t>
  </si>
  <si>
    <t>LoC</t>
  </si>
  <si>
    <t>Lockout Menu</t>
  </si>
  <si>
    <t>tC</t>
  </si>
  <si>
    <t>SEn</t>
  </si>
  <si>
    <t>Sensor Type</t>
  </si>
  <si>
    <t>J</t>
  </si>
  <si>
    <t>Lnr</t>
  </si>
  <si>
    <t>Linearization</t>
  </si>
  <si>
    <t>dEC</t>
  </si>
  <si>
    <t>Decimal</t>
  </si>
  <si>
    <t>F</t>
  </si>
  <si>
    <t>C_F</t>
  </si>
  <si>
    <t>rLo</t>
  </si>
  <si>
    <t>Range Low</t>
  </si>
  <si>
    <t>rhi</t>
  </si>
  <si>
    <t>Range High</t>
  </si>
  <si>
    <t>hEAt</t>
  </si>
  <si>
    <t>Fn1</t>
  </si>
  <si>
    <t>Function of Output 1 (digital)</t>
  </si>
  <si>
    <t>Fn2</t>
  </si>
  <si>
    <t>Function of Output 1 (analog)</t>
  </si>
  <si>
    <t>uoLt</t>
  </si>
  <si>
    <t>o.ty</t>
  </si>
  <si>
    <t>Output Type</t>
  </si>
  <si>
    <t>oFF</t>
  </si>
  <si>
    <t>Function of Output 2 (digital)</t>
  </si>
  <si>
    <t>Pid</t>
  </si>
  <si>
    <t>h.Ag</t>
  </si>
  <si>
    <t>C.Ag</t>
  </si>
  <si>
    <t>3.0</t>
  </si>
  <si>
    <t>HSC</t>
  </si>
  <si>
    <t>Hysteresis (Heat &amp; Cool)</t>
  </si>
  <si>
    <t>both</t>
  </si>
  <si>
    <t>L.Sd</t>
  </si>
  <si>
    <t>Limit Sides</t>
  </si>
  <si>
    <t>L.hy</t>
  </si>
  <si>
    <t>Limit Hysteresis</t>
  </si>
  <si>
    <t>A.ty</t>
  </si>
  <si>
    <t>Alarm Type</t>
  </si>
  <si>
    <t>1.0</t>
  </si>
  <si>
    <t>A.hy</t>
  </si>
  <si>
    <t>Alarm Hysteresis</t>
  </si>
  <si>
    <t>A.LC</t>
  </si>
  <si>
    <t>A.Lg</t>
  </si>
  <si>
    <t>Alarm Logic</t>
  </si>
  <si>
    <t>nLAt</t>
  </si>
  <si>
    <t>A.LA</t>
  </si>
  <si>
    <t>Alarm Latching</t>
  </si>
  <si>
    <t>A.bL</t>
  </si>
  <si>
    <t>Alarm Blocking</t>
  </si>
  <si>
    <t>A.Si</t>
  </si>
  <si>
    <t>Alarm Silencing</t>
  </si>
  <si>
    <t>A.dSP</t>
  </si>
  <si>
    <t>rP</t>
  </si>
  <si>
    <t>Ramp Action</t>
  </si>
  <si>
    <t>r.rt</t>
  </si>
  <si>
    <t>100.0</t>
  </si>
  <si>
    <t>o.hi1</t>
  </si>
  <si>
    <t>Power Scale High Output 1</t>
  </si>
  <si>
    <t>0.0</t>
  </si>
  <si>
    <t>S.Lo</t>
  </si>
  <si>
    <t>Scale Low Output 1</t>
  </si>
  <si>
    <t>10.0</t>
  </si>
  <si>
    <t>S.hi</t>
  </si>
  <si>
    <t>Scale High Output 1</t>
  </si>
  <si>
    <t>o.hi2</t>
  </si>
  <si>
    <t>Power Scale High Output 2</t>
  </si>
  <si>
    <t>AC.Pu</t>
  </si>
  <si>
    <t>PAr1</t>
  </si>
  <si>
    <t>Upper or Left Display</t>
  </si>
  <si>
    <t>AC.SP</t>
  </si>
  <si>
    <t>PAr2</t>
  </si>
  <si>
    <t>Lower or Right Display</t>
  </si>
  <si>
    <t>Ad.S</t>
  </si>
  <si>
    <t>Zone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</si>
</sst>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b/>
      <sz val="12"/>
      <color rgb="FFFF0000"/>
      <name val="Arial"/>
      <family val="2"/>
    </font>
    <font>
      <b/>
      <sz val="12"/>
      <color rgb="FF00B050"/>
      <name val="Arial"/>
      <family val="2"/>
    </font>
    <font>
      <b/>
      <sz val="8"/>
      <name val="Arial"/>
      <family val="2"/>
    </font>
    <font>
      <b/>
      <sz val="8"/>
      <color rgb="FFFF0000"/>
      <name val="Arial"/>
      <family val="2"/>
    </font>
    <font>
      <b/>
      <sz val="8"/>
      <color rgb="FF00B05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color rgb="FF00B050"/>
      <name val="AF-LED7Seg-3"/>
    </font>
    <font>
      <b/>
      <sz val="12"/>
      <color rgb="FFFF0000"/>
      <name val="AF-LED7Seg-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2" borderId="3" applyNumberFormat="0" applyFill="0" applyBorder="0" applyProtection="0">
      <alignment horizontal="center" vertical="center" wrapText="1"/>
    </xf>
    <xf numFmtId="0" fontId="11" fillId="0" borderId="6" applyBorder="0" applyAlignment="0">
      <alignment horizontal="center" vertical="center" wrapText="1"/>
    </xf>
  </cellStyleXfs>
  <cellXfs count="5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2" xfId="1" applyNumberFormat="1" applyFont="1" applyFill="1" applyBorder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vertical="center"/>
    </xf>
    <xf numFmtId="0" fontId="9" fillId="0" borderId="3" xfId="0" applyFont="1" applyBorder="1" applyAlignment="1">
      <alignment vertical="center"/>
    </xf>
    <xf numFmtId="0" fontId="0" fillId="0" borderId="3" xfId="0" applyBorder="1"/>
    <xf numFmtId="49" fontId="9" fillId="0" borderId="3" xfId="0" applyNumberFormat="1" applyFon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49" fontId="9" fillId="0" borderId="3" xfId="0" applyNumberFormat="1" applyFont="1" applyBorder="1" applyAlignment="1">
      <alignment vertical="center" wrapText="1"/>
    </xf>
    <xf numFmtId="0" fontId="9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/>
    </xf>
    <xf numFmtId="49" fontId="9" fillId="0" borderId="3" xfId="0" applyNumberFormat="1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 wrapText="1"/>
    </xf>
    <xf numFmtId="0" fontId="9" fillId="0" borderId="3" xfId="0" applyFont="1" applyBorder="1"/>
    <xf numFmtId="0" fontId="0" fillId="0" borderId="3" xfId="0" applyBorder="1" applyAlignment="1">
      <alignment horizontal="center" vertical="center"/>
    </xf>
    <xf numFmtId="0" fontId="12" fillId="0" borderId="3" xfId="2" applyFont="1" applyBorder="1" applyAlignment="1">
      <alignment horizontal="left"/>
    </xf>
    <xf numFmtId="0" fontId="11" fillId="0" borderId="3" xfId="2" applyBorder="1" applyAlignment="1"/>
    <xf numFmtId="0" fontId="12" fillId="0" borderId="3" xfId="2" quotePrefix="1" applyFont="1" applyBorder="1" applyAlignment="1">
      <alignment horizontal="left"/>
    </xf>
    <xf numFmtId="0" fontId="10" fillId="0" borderId="3" xfId="0" applyFont="1" applyBorder="1" applyAlignment="1">
      <alignment vertical="center"/>
    </xf>
    <xf numFmtId="0" fontId="12" fillId="0" borderId="3" xfId="2" applyFont="1" applyBorder="1" applyAlignment="1">
      <alignment horizontal="left" vertical="center"/>
    </xf>
    <xf numFmtId="0" fontId="11" fillId="0" borderId="3" xfId="2" applyBorder="1" applyAlignment="1">
      <alignment vertical="center"/>
    </xf>
  </cellXfs>
  <cellStyles count="3">
    <cellStyle name="AF-LED" xfId="2" xr:uid="{424C7D34-3DEC-4616-A2BE-93D48FC1B94B}"/>
    <cellStyle name="ArialB8" xfId="1" xr:uid="{CC9A5C4C-C8DB-45C5-B807-CED994BBB6B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091A-80BB-4CD8-90E4-1AAC2F717182}">
  <sheetPr>
    <tabColor theme="6" tint="0.39997558519241921"/>
  </sheetPr>
  <dimension ref="A1:R107"/>
  <sheetViews>
    <sheetView tabSelected="1" workbookViewId="0">
      <pane ySplit="1" topLeftCell="A62" activePane="bottomLeft" state="frozen"/>
      <selection pane="bottomLeft" activeCell="O69" sqref="O69"/>
    </sheetView>
  </sheetViews>
  <sheetFormatPr defaultRowHeight="12.75"/>
  <cols>
    <col min="1" max="1" width="9.140625" style="32"/>
    <col min="2" max="2" width="9.42578125" style="36" customWidth="1"/>
    <col min="3" max="3" width="15" style="20" bestFit="1" customWidth="1"/>
    <col min="4" max="4" width="13.42578125" style="36" bestFit="1" customWidth="1"/>
    <col min="5" max="5" width="14.7109375" style="36" customWidth="1"/>
    <col min="6" max="6" width="8.5703125" style="36" customWidth="1"/>
    <col min="7" max="7" width="8.7109375" style="36" bestFit="1" customWidth="1"/>
    <col min="8" max="8" width="12.42578125" style="23" customWidth="1"/>
    <col min="9" max="9" width="2.7109375" style="32" customWidth="1"/>
    <col min="10" max="10" width="9.140625" style="27"/>
    <col min="11" max="11" width="7.5703125" style="27" customWidth="1"/>
    <col min="12" max="12" width="7.85546875" style="27" customWidth="1"/>
    <col min="13" max="13" width="12.140625" style="27" bestFit="1" customWidth="1"/>
    <col min="14" max="15" width="9.140625" style="34"/>
    <col min="16" max="16" width="50.42578125" style="20" customWidth="1"/>
    <col min="17" max="17" width="9.28515625" style="20" bestFit="1" customWidth="1"/>
    <col min="18" max="18" width="10.140625" style="36" bestFit="1" customWidth="1"/>
    <col min="19" max="16384" width="9.140625" style="32"/>
  </cols>
  <sheetData>
    <row r="1" spans="1:18" s="11" customFormat="1" ht="34.5" thickBo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/>
      <c r="J1" s="5" t="s">
        <v>8</v>
      </c>
      <c r="K1" s="5" t="s">
        <v>9</v>
      </c>
      <c r="L1" s="5" t="s">
        <v>10</v>
      </c>
      <c r="M1" s="5" t="s">
        <v>11</v>
      </c>
      <c r="N1" s="6" t="s">
        <v>12</v>
      </c>
      <c r="O1" s="7" t="s">
        <v>13</v>
      </c>
      <c r="P1" s="8" t="s">
        <v>14</v>
      </c>
      <c r="Q1" s="9" t="s">
        <v>15</v>
      </c>
      <c r="R1" s="10"/>
    </row>
    <row r="2" spans="1:18" s="11" customFormat="1">
      <c r="A2" s="12"/>
      <c r="B2" s="13"/>
      <c r="C2" s="13" t="s">
        <v>16</v>
      </c>
      <c r="D2" s="13" t="s">
        <v>17</v>
      </c>
      <c r="E2" s="14" t="s">
        <v>18</v>
      </c>
      <c r="F2" s="14">
        <v>4</v>
      </c>
      <c r="G2" s="15" t="s">
        <v>19</v>
      </c>
      <c r="H2" s="16" t="s">
        <v>18</v>
      </c>
      <c r="I2" s="17"/>
      <c r="J2" s="18" t="s">
        <v>20</v>
      </c>
      <c r="K2" s="18">
        <v>255</v>
      </c>
      <c r="L2" s="18" t="s">
        <v>21</v>
      </c>
      <c r="M2" s="19" t="s">
        <v>22</v>
      </c>
      <c r="N2" s="12"/>
      <c r="O2" s="12"/>
      <c r="P2" s="20" t="s">
        <v>23</v>
      </c>
      <c r="Q2" s="18">
        <f>HEX2DEC(RIGHT(J2,2))*1000+HEX2DEC(RIGHT(L2,2))</f>
        <v>4001</v>
      </c>
      <c r="R2" s="21"/>
    </row>
    <row r="3" spans="1:18" s="11" customFormat="1">
      <c r="B3" s="20"/>
      <c r="C3" s="20" t="s">
        <v>16</v>
      </c>
      <c r="D3" s="20" t="s">
        <v>17</v>
      </c>
      <c r="E3" s="22"/>
      <c r="F3" s="22"/>
      <c r="G3" s="23" t="s">
        <v>19</v>
      </c>
      <c r="H3" s="24"/>
      <c r="I3" s="25"/>
      <c r="J3" s="26" t="s">
        <v>20</v>
      </c>
      <c r="K3" s="26">
        <v>255</v>
      </c>
      <c r="L3" s="26" t="s">
        <v>24</v>
      </c>
      <c r="M3" s="27" t="s">
        <v>22</v>
      </c>
      <c r="P3" s="28" t="s">
        <v>25</v>
      </c>
      <c r="Q3" s="26">
        <f t="shared" ref="Q3:Q66" si="0">HEX2DEC(RIGHT(J3,2))*1000+HEX2DEC(RIGHT(L3,2))</f>
        <v>4002</v>
      </c>
      <c r="R3" s="21"/>
    </row>
    <row r="4" spans="1:18" s="11" customFormat="1">
      <c r="B4" s="20"/>
      <c r="C4" s="20" t="s">
        <v>16</v>
      </c>
      <c r="D4" s="20" t="s">
        <v>17</v>
      </c>
      <c r="E4" s="22"/>
      <c r="F4" s="22"/>
      <c r="G4" s="23" t="s">
        <v>19</v>
      </c>
      <c r="H4" s="24"/>
      <c r="I4" s="25"/>
      <c r="J4" s="27" t="s">
        <v>20</v>
      </c>
      <c r="K4" s="27">
        <v>255</v>
      </c>
      <c r="L4" s="27" t="s">
        <v>26</v>
      </c>
      <c r="M4" s="27" t="s">
        <v>22</v>
      </c>
      <c r="P4" s="20" t="s">
        <v>27</v>
      </c>
      <c r="Q4" s="26">
        <f t="shared" si="0"/>
        <v>4012</v>
      </c>
      <c r="R4" s="21"/>
    </row>
    <row r="5" spans="1:18" s="11" customFormat="1">
      <c r="B5" s="29"/>
      <c r="C5" s="26"/>
      <c r="D5" s="29"/>
      <c r="E5" s="30"/>
      <c r="F5" s="30"/>
      <c r="G5" s="30"/>
      <c r="H5" s="26"/>
      <c r="I5" s="25"/>
      <c r="J5" s="26"/>
      <c r="K5" s="26"/>
      <c r="L5" s="26"/>
      <c r="M5" s="26"/>
      <c r="P5" s="26"/>
      <c r="Q5" s="26"/>
      <c r="R5" s="31"/>
    </row>
    <row r="6" spans="1:18">
      <c r="B6" s="20"/>
      <c r="C6" s="20" t="s">
        <v>28</v>
      </c>
      <c r="D6" s="20" t="s">
        <v>17</v>
      </c>
      <c r="E6" s="22" t="s">
        <v>29</v>
      </c>
      <c r="F6" s="22">
        <v>2</v>
      </c>
      <c r="G6" s="23">
        <v>1</v>
      </c>
      <c r="H6" s="24" t="s">
        <v>18</v>
      </c>
      <c r="I6" s="33"/>
      <c r="J6" s="27" t="s">
        <v>26</v>
      </c>
      <c r="K6" s="27">
        <v>255</v>
      </c>
      <c r="L6" s="27" t="s">
        <v>30</v>
      </c>
      <c r="M6" s="27" t="s">
        <v>31</v>
      </c>
      <c r="P6" s="35" t="s">
        <v>32</v>
      </c>
      <c r="Q6" s="26">
        <f t="shared" si="0"/>
        <v>12003</v>
      </c>
    </row>
    <row r="7" spans="1:18">
      <c r="B7" s="20"/>
      <c r="C7" s="20" t="s">
        <v>28</v>
      </c>
      <c r="D7" s="20" t="s">
        <v>17</v>
      </c>
      <c r="E7" s="22"/>
      <c r="F7" s="22"/>
      <c r="G7" s="23">
        <v>1</v>
      </c>
      <c r="H7" s="24"/>
      <c r="I7" s="33"/>
      <c r="J7" s="27" t="s">
        <v>26</v>
      </c>
      <c r="K7" s="27">
        <v>255</v>
      </c>
      <c r="L7" s="27" t="s">
        <v>20</v>
      </c>
      <c r="M7" s="27" t="s">
        <v>31</v>
      </c>
      <c r="P7" s="35" t="s">
        <v>33</v>
      </c>
      <c r="Q7" s="26">
        <f t="shared" si="0"/>
        <v>12004</v>
      </c>
    </row>
    <row r="8" spans="1:18">
      <c r="E8" s="11"/>
      <c r="F8" s="11"/>
      <c r="G8" s="23"/>
      <c r="H8" s="11"/>
      <c r="I8" s="23"/>
      <c r="Q8" s="26"/>
    </row>
    <row r="9" spans="1:18">
      <c r="B9" s="20"/>
      <c r="C9" s="20" t="s">
        <v>34</v>
      </c>
      <c r="D9" s="20" t="s">
        <v>17</v>
      </c>
      <c r="E9" s="22" t="s">
        <v>35</v>
      </c>
      <c r="F9" s="22">
        <v>4</v>
      </c>
      <c r="G9" s="23">
        <v>1</v>
      </c>
      <c r="H9" s="22" t="s">
        <v>18</v>
      </c>
      <c r="J9" s="27" t="s">
        <v>36</v>
      </c>
      <c r="K9" s="27">
        <v>255</v>
      </c>
      <c r="L9" s="27" t="s">
        <v>21</v>
      </c>
      <c r="M9" s="27" t="s">
        <v>37</v>
      </c>
      <c r="P9" s="20" t="s">
        <v>38</v>
      </c>
      <c r="Q9" s="26">
        <f t="shared" si="0"/>
        <v>8001</v>
      </c>
    </row>
    <row r="10" spans="1:18">
      <c r="B10" s="20"/>
      <c r="C10" s="20" t="s">
        <v>34</v>
      </c>
      <c r="D10" s="20" t="s">
        <v>17</v>
      </c>
      <c r="E10" s="22"/>
      <c r="F10" s="22"/>
      <c r="G10" s="23">
        <v>1</v>
      </c>
      <c r="H10" s="22"/>
      <c r="J10" s="27" t="s">
        <v>36</v>
      </c>
      <c r="K10" s="27">
        <v>255</v>
      </c>
      <c r="L10" s="27" t="s">
        <v>39</v>
      </c>
      <c r="M10" s="27" t="s">
        <v>37</v>
      </c>
      <c r="P10" s="20" t="s">
        <v>40</v>
      </c>
      <c r="Q10" s="26">
        <f t="shared" si="0"/>
        <v>8026</v>
      </c>
    </row>
    <row r="11" spans="1:18">
      <c r="B11" s="20"/>
      <c r="C11" s="20" t="s">
        <v>34</v>
      </c>
      <c r="D11" s="20" t="s">
        <v>17</v>
      </c>
      <c r="E11" s="22"/>
      <c r="F11" s="22"/>
      <c r="G11" s="23" t="s">
        <v>19</v>
      </c>
      <c r="H11" s="22"/>
      <c r="J11" s="27" t="s">
        <v>41</v>
      </c>
      <c r="K11" s="27">
        <v>255</v>
      </c>
      <c r="L11" s="27" t="s">
        <v>21</v>
      </c>
      <c r="M11" s="27" t="s">
        <v>42</v>
      </c>
      <c r="P11" s="20" t="s">
        <v>43</v>
      </c>
      <c r="Q11" s="26">
        <f t="shared" si="0"/>
        <v>7001</v>
      </c>
    </row>
    <row r="12" spans="1:18">
      <c r="B12" s="20"/>
      <c r="C12" s="20" t="s">
        <v>34</v>
      </c>
      <c r="D12" s="20" t="s">
        <v>17</v>
      </c>
      <c r="E12" s="22"/>
      <c r="F12" s="22"/>
      <c r="G12" s="23">
        <v>1</v>
      </c>
      <c r="H12" s="22"/>
      <c r="J12" s="27" t="s">
        <v>36</v>
      </c>
      <c r="K12" s="27">
        <v>255</v>
      </c>
      <c r="L12" s="27" t="s">
        <v>44</v>
      </c>
      <c r="M12" s="27" t="s">
        <v>37</v>
      </c>
      <c r="P12" s="20" t="s">
        <v>45</v>
      </c>
      <c r="Q12" s="26">
        <f t="shared" si="0"/>
        <v>8009</v>
      </c>
    </row>
    <row r="13" spans="1:18">
      <c r="B13" s="20"/>
      <c r="C13" s="20" t="s">
        <v>34</v>
      </c>
      <c r="D13" s="20" t="s">
        <v>17</v>
      </c>
      <c r="E13" s="22"/>
      <c r="F13" s="22"/>
      <c r="G13" s="23">
        <v>1</v>
      </c>
      <c r="H13" s="22"/>
      <c r="J13" s="27" t="s">
        <v>36</v>
      </c>
      <c r="K13" s="27">
        <v>255</v>
      </c>
      <c r="L13" s="27" t="s">
        <v>46</v>
      </c>
      <c r="M13" s="27" t="s">
        <v>37</v>
      </c>
      <c r="P13" s="20" t="s">
        <v>47</v>
      </c>
      <c r="Q13" s="26">
        <f t="shared" si="0"/>
        <v>8010</v>
      </c>
    </row>
    <row r="14" spans="1:18">
      <c r="B14" s="20"/>
      <c r="C14" s="20" t="s">
        <v>34</v>
      </c>
      <c r="D14" s="20" t="s">
        <v>17</v>
      </c>
      <c r="E14" s="22"/>
      <c r="F14" s="22"/>
      <c r="G14" s="23">
        <v>1</v>
      </c>
      <c r="H14" s="22"/>
      <c r="J14" s="27" t="s">
        <v>36</v>
      </c>
      <c r="K14" s="27">
        <v>255</v>
      </c>
      <c r="L14" s="27" t="s">
        <v>26</v>
      </c>
      <c r="M14" s="27" t="s">
        <v>37</v>
      </c>
      <c r="P14" s="20" t="s">
        <v>48</v>
      </c>
      <c r="Q14" s="26">
        <f t="shared" si="0"/>
        <v>8012</v>
      </c>
    </row>
    <row r="15" spans="1:18">
      <c r="B15" s="20"/>
      <c r="C15" s="20" t="s">
        <v>34</v>
      </c>
      <c r="D15" s="20" t="s">
        <v>17</v>
      </c>
      <c r="E15" s="22"/>
      <c r="F15" s="22"/>
      <c r="G15" s="23">
        <v>1</v>
      </c>
      <c r="H15" s="22"/>
      <c r="J15" s="27" t="s">
        <v>36</v>
      </c>
      <c r="K15" s="27">
        <v>255</v>
      </c>
      <c r="L15" s="27" t="s">
        <v>49</v>
      </c>
      <c r="M15" s="27" t="s">
        <v>37</v>
      </c>
      <c r="P15" s="20" t="s">
        <v>50</v>
      </c>
      <c r="Q15" s="26">
        <f t="shared" si="0"/>
        <v>8006</v>
      </c>
    </row>
    <row r="16" spans="1:18">
      <c r="B16" s="20"/>
      <c r="C16" s="20" t="s">
        <v>34</v>
      </c>
      <c r="D16" s="20" t="s">
        <v>17</v>
      </c>
      <c r="E16" s="22"/>
      <c r="F16" s="22"/>
      <c r="G16" s="23">
        <v>1</v>
      </c>
      <c r="H16" s="22"/>
      <c r="J16" s="27" t="s">
        <v>36</v>
      </c>
      <c r="K16" s="27">
        <v>255</v>
      </c>
      <c r="L16" s="27" t="s">
        <v>41</v>
      </c>
      <c r="M16" s="27" t="s">
        <v>37</v>
      </c>
      <c r="P16" s="20" t="s">
        <v>51</v>
      </c>
      <c r="Q16" s="26">
        <f t="shared" si="0"/>
        <v>8007</v>
      </c>
    </row>
    <row r="17" spans="2:17">
      <c r="B17" s="20"/>
      <c r="C17" s="20" t="s">
        <v>34</v>
      </c>
      <c r="D17" s="20" t="s">
        <v>17</v>
      </c>
      <c r="E17" s="22"/>
      <c r="F17" s="22"/>
      <c r="G17" s="23">
        <v>1</v>
      </c>
      <c r="H17" s="22"/>
      <c r="J17" s="27" t="s">
        <v>41</v>
      </c>
      <c r="K17" s="27">
        <v>255</v>
      </c>
      <c r="L17" s="27" t="s">
        <v>24</v>
      </c>
      <c r="M17" s="27" t="s">
        <v>42</v>
      </c>
      <c r="P17" s="33" t="s">
        <v>52</v>
      </c>
      <c r="Q17" s="26">
        <f t="shared" si="0"/>
        <v>7002</v>
      </c>
    </row>
    <row r="18" spans="2:17">
      <c r="E18" s="11"/>
      <c r="F18" s="11"/>
      <c r="G18" s="23"/>
      <c r="H18" s="11"/>
      <c r="I18" s="23"/>
      <c r="Q18" s="26"/>
    </row>
    <row r="19" spans="2:17">
      <c r="B19" s="20"/>
      <c r="C19" s="20" t="s">
        <v>53</v>
      </c>
      <c r="D19" s="20" t="s">
        <v>17</v>
      </c>
      <c r="E19" s="22" t="s">
        <v>18</v>
      </c>
      <c r="F19" s="22">
        <v>3</v>
      </c>
      <c r="G19" s="23" t="s">
        <v>19</v>
      </c>
      <c r="H19" s="22" t="s">
        <v>18</v>
      </c>
      <c r="J19" s="27" t="s">
        <v>44</v>
      </c>
      <c r="K19" s="27">
        <v>255</v>
      </c>
      <c r="L19" s="27" t="s">
        <v>24</v>
      </c>
      <c r="M19" s="27" t="s">
        <v>54</v>
      </c>
      <c r="P19" s="20" t="s">
        <v>55</v>
      </c>
      <c r="Q19" s="26">
        <f t="shared" si="0"/>
        <v>9002</v>
      </c>
    </row>
    <row r="20" spans="2:17">
      <c r="B20" s="20"/>
      <c r="C20" s="20" t="s">
        <v>53</v>
      </c>
      <c r="D20" s="20" t="s">
        <v>17</v>
      </c>
      <c r="E20" s="22"/>
      <c r="F20" s="22"/>
      <c r="G20" s="23" t="s">
        <v>19</v>
      </c>
      <c r="H20" s="22"/>
      <c r="J20" s="27" t="s">
        <v>44</v>
      </c>
      <c r="K20" s="27">
        <v>255</v>
      </c>
      <c r="L20" s="27" t="s">
        <v>21</v>
      </c>
      <c r="M20" s="27" t="s">
        <v>54</v>
      </c>
      <c r="P20" s="20" t="s">
        <v>56</v>
      </c>
      <c r="Q20" s="26">
        <f t="shared" si="0"/>
        <v>9001</v>
      </c>
    </row>
    <row r="21" spans="2:17">
      <c r="G21" s="23"/>
      <c r="Q21" s="26"/>
    </row>
    <row r="22" spans="2:17">
      <c r="B22" s="20"/>
      <c r="C22" s="20" t="s">
        <v>16</v>
      </c>
      <c r="D22" s="20" t="s">
        <v>57</v>
      </c>
      <c r="E22" s="22" t="s">
        <v>18</v>
      </c>
      <c r="F22" s="22">
        <v>5</v>
      </c>
      <c r="G22" s="23" t="s">
        <v>19</v>
      </c>
      <c r="H22" s="22" t="s">
        <v>18</v>
      </c>
      <c r="I22" s="23"/>
      <c r="J22" s="27" t="s">
        <v>20</v>
      </c>
      <c r="K22" s="27">
        <v>255</v>
      </c>
      <c r="L22" s="27" t="s">
        <v>58</v>
      </c>
      <c r="M22" s="27" t="s">
        <v>22</v>
      </c>
      <c r="P22" s="35" t="s">
        <v>59</v>
      </c>
      <c r="Q22" s="26">
        <f t="shared" si="0"/>
        <v>4005</v>
      </c>
    </row>
    <row r="23" spans="2:17">
      <c r="B23" s="20"/>
      <c r="C23" s="20" t="s">
        <v>16</v>
      </c>
      <c r="D23" s="20" t="s">
        <v>60</v>
      </c>
      <c r="E23" s="22"/>
      <c r="F23" s="22"/>
      <c r="G23" s="23" t="s">
        <v>19</v>
      </c>
      <c r="H23" s="22"/>
      <c r="I23" s="23"/>
      <c r="J23" s="27" t="s">
        <v>20</v>
      </c>
      <c r="K23" s="27">
        <v>255</v>
      </c>
      <c r="L23" s="27" t="s">
        <v>49</v>
      </c>
      <c r="M23" s="27" t="s">
        <v>22</v>
      </c>
      <c r="P23" s="35" t="s">
        <v>61</v>
      </c>
      <c r="Q23" s="26">
        <f t="shared" si="0"/>
        <v>4006</v>
      </c>
    </row>
    <row r="24" spans="2:17">
      <c r="B24" s="20"/>
      <c r="C24" s="20" t="s">
        <v>16</v>
      </c>
      <c r="D24" s="20" t="s">
        <v>60</v>
      </c>
      <c r="E24" s="22"/>
      <c r="F24" s="22"/>
      <c r="G24" s="23" t="s">
        <v>19</v>
      </c>
      <c r="H24" s="22"/>
      <c r="I24" s="23"/>
      <c r="J24" s="27" t="s">
        <v>20</v>
      </c>
      <c r="K24" s="27">
        <v>255</v>
      </c>
      <c r="L24" s="27" t="s">
        <v>62</v>
      </c>
      <c r="M24" s="27" t="s">
        <v>22</v>
      </c>
      <c r="P24" s="35" t="s">
        <v>63</v>
      </c>
      <c r="Q24" s="26">
        <f t="shared" si="0"/>
        <v>4017</v>
      </c>
    </row>
    <row r="25" spans="2:17">
      <c r="B25" s="20"/>
      <c r="C25" s="20" t="s">
        <v>16</v>
      </c>
      <c r="D25" s="20" t="s">
        <v>60</v>
      </c>
      <c r="E25" s="22"/>
      <c r="F25" s="22"/>
      <c r="G25" s="23" t="s">
        <v>19</v>
      </c>
      <c r="H25" s="22"/>
      <c r="I25" s="23"/>
      <c r="J25" s="27" t="s">
        <v>20</v>
      </c>
      <c r="K25" s="27">
        <v>255</v>
      </c>
      <c r="L25" s="27" t="s">
        <v>64</v>
      </c>
      <c r="M25" s="27" t="s">
        <v>22</v>
      </c>
      <c r="P25" s="35" t="s">
        <v>65</v>
      </c>
      <c r="Q25" s="26">
        <f t="shared" si="0"/>
        <v>4018</v>
      </c>
    </row>
    <row r="26" spans="2:17">
      <c r="B26" s="20"/>
      <c r="C26" s="20" t="s">
        <v>16</v>
      </c>
      <c r="D26" s="20" t="s">
        <v>60</v>
      </c>
      <c r="E26" s="22"/>
      <c r="F26" s="22"/>
      <c r="G26" s="23" t="s">
        <v>19</v>
      </c>
      <c r="H26" s="22"/>
      <c r="I26" s="23"/>
      <c r="J26" s="27" t="s">
        <v>20</v>
      </c>
      <c r="K26" s="27">
        <v>255</v>
      </c>
      <c r="L26" s="27" t="s">
        <v>66</v>
      </c>
      <c r="M26" s="27" t="s">
        <v>22</v>
      </c>
      <c r="P26" s="35" t="s">
        <v>67</v>
      </c>
      <c r="Q26" s="26">
        <f t="shared" si="0"/>
        <v>4020</v>
      </c>
    </row>
    <row r="27" spans="2:17">
      <c r="E27" s="37"/>
      <c r="F27" s="37"/>
      <c r="G27" s="23"/>
      <c r="H27" s="38"/>
      <c r="I27" s="23"/>
      <c r="Q27" s="26"/>
    </row>
    <row r="28" spans="2:17">
      <c r="B28" s="20"/>
      <c r="C28" s="20" t="s">
        <v>28</v>
      </c>
      <c r="D28" s="20" t="s">
        <v>60</v>
      </c>
      <c r="E28" s="22" t="s">
        <v>29</v>
      </c>
      <c r="F28" s="22">
        <v>5</v>
      </c>
      <c r="G28" s="23">
        <v>1</v>
      </c>
      <c r="H28" s="22" t="s">
        <v>18</v>
      </c>
      <c r="I28" s="23"/>
      <c r="J28" s="27" t="s">
        <v>26</v>
      </c>
      <c r="K28" s="27">
        <v>255</v>
      </c>
      <c r="L28" s="27" t="s">
        <v>58</v>
      </c>
      <c r="M28" s="27" t="s">
        <v>31</v>
      </c>
      <c r="P28" s="35" t="s">
        <v>68</v>
      </c>
      <c r="Q28" s="26">
        <f t="shared" si="0"/>
        <v>12005</v>
      </c>
    </row>
    <row r="29" spans="2:17">
      <c r="B29" s="20"/>
      <c r="C29" s="20" t="s">
        <v>28</v>
      </c>
      <c r="D29" s="20" t="s">
        <v>60</v>
      </c>
      <c r="E29" s="22"/>
      <c r="F29" s="22"/>
      <c r="G29" s="23">
        <v>1</v>
      </c>
      <c r="H29" s="22"/>
      <c r="I29" s="23"/>
      <c r="J29" s="27" t="s">
        <v>26</v>
      </c>
      <c r="K29" s="27">
        <v>255</v>
      </c>
      <c r="L29" s="27" t="s">
        <v>24</v>
      </c>
      <c r="M29" s="27" t="s">
        <v>31</v>
      </c>
      <c r="P29" s="35" t="s">
        <v>69</v>
      </c>
      <c r="Q29" s="26">
        <f t="shared" si="0"/>
        <v>12002</v>
      </c>
    </row>
    <row r="30" spans="2:17">
      <c r="E30" s="37"/>
      <c r="F30" s="37"/>
      <c r="G30" s="23"/>
      <c r="H30" s="38"/>
      <c r="I30" s="23"/>
      <c r="Q30" s="26"/>
    </row>
    <row r="31" spans="2:17">
      <c r="B31" s="20"/>
      <c r="C31" s="20" t="s">
        <v>34</v>
      </c>
      <c r="D31" s="20" t="s">
        <v>60</v>
      </c>
      <c r="E31" s="22" t="s">
        <v>35</v>
      </c>
      <c r="F31" s="22">
        <v>5</v>
      </c>
      <c r="G31" s="23" t="s">
        <v>19</v>
      </c>
      <c r="H31" s="22" t="s">
        <v>18</v>
      </c>
      <c r="I31" s="23"/>
      <c r="J31" s="27" t="s">
        <v>36</v>
      </c>
      <c r="K31" s="27">
        <v>255</v>
      </c>
      <c r="L31" s="27" t="s">
        <v>30</v>
      </c>
      <c r="M31" s="27" t="s">
        <v>37</v>
      </c>
      <c r="P31" s="35" t="s">
        <v>70</v>
      </c>
      <c r="Q31" s="26">
        <f t="shared" si="0"/>
        <v>8003</v>
      </c>
    </row>
    <row r="32" spans="2:17">
      <c r="B32" s="20"/>
      <c r="C32" s="20" t="s">
        <v>34</v>
      </c>
      <c r="D32" s="20" t="s">
        <v>60</v>
      </c>
      <c r="E32" s="22"/>
      <c r="F32" s="22"/>
      <c r="G32" s="23" t="s">
        <v>19</v>
      </c>
      <c r="H32" s="22"/>
      <c r="I32" s="23"/>
      <c r="J32" s="27" t="s">
        <v>36</v>
      </c>
      <c r="K32" s="27">
        <v>255</v>
      </c>
      <c r="L32" s="27" t="s">
        <v>20</v>
      </c>
      <c r="M32" s="27" t="s">
        <v>37</v>
      </c>
      <c r="P32" s="35" t="s">
        <v>71</v>
      </c>
      <c r="Q32" s="26">
        <f t="shared" si="0"/>
        <v>8004</v>
      </c>
    </row>
    <row r="33" spans="2:17">
      <c r="B33" s="20"/>
      <c r="C33" s="20" t="s">
        <v>34</v>
      </c>
      <c r="D33" s="20" t="s">
        <v>60</v>
      </c>
      <c r="E33" s="22"/>
      <c r="F33" s="22"/>
      <c r="G33" s="23">
        <v>1</v>
      </c>
      <c r="H33" s="22"/>
      <c r="I33" s="23"/>
      <c r="J33" s="27" t="s">
        <v>41</v>
      </c>
      <c r="K33" s="27">
        <v>255</v>
      </c>
      <c r="L33" s="27" t="s">
        <v>72</v>
      </c>
      <c r="M33" s="27" t="s">
        <v>42</v>
      </c>
      <c r="P33" s="35" t="s">
        <v>73</v>
      </c>
      <c r="Q33" s="26">
        <f t="shared" si="0"/>
        <v>7014</v>
      </c>
    </row>
    <row r="34" spans="2:17">
      <c r="B34" s="20"/>
      <c r="C34" s="20" t="s">
        <v>34</v>
      </c>
      <c r="D34" s="20" t="s">
        <v>60</v>
      </c>
      <c r="E34" s="22"/>
      <c r="F34" s="22"/>
      <c r="G34" s="23">
        <v>1</v>
      </c>
      <c r="H34" s="22"/>
      <c r="I34" s="23"/>
      <c r="J34" s="27" t="s">
        <v>41</v>
      </c>
      <c r="K34" s="27">
        <v>255</v>
      </c>
      <c r="L34" s="27" t="s">
        <v>62</v>
      </c>
      <c r="M34" s="27" t="s">
        <v>42</v>
      </c>
      <c r="P34" s="35" t="s">
        <v>74</v>
      </c>
      <c r="Q34" s="26">
        <f t="shared" si="0"/>
        <v>7017</v>
      </c>
    </row>
    <row r="35" spans="2:17">
      <c r="B35" s="32"/>
      <c r="C35" s="33"/>
      <c r="D35" s="32"/>
      <c r="E35" s="37"/>
      <c r="F35" s="37"/>
      <c r="G35" s="32"/>
      <c r="H35" s="38"/>
      <c r="Q35" s="26"/>
    </row>
    <row r="36" spans="2:17">
      <c r="B36" s="20"/>
      <c r="C36" s="20" t="s">
        <v>75</v>
      </c>
      <c r="D36" s="20" t="s">
        <v>60</v>
      </c>
      <c r="E36" s="22" t="s">
        <v>76</v>
      </c>
      <c r="F36" s="22">
        <v>5</v>
      </c>
      <c r="G36" s="23" t="s">
        <v>77</v>
      </c>
      <c r="H36" s="22" t="s">
        <v>78</v>
      </c>
      <c r="I36" s="23"/>
      <c r="J36" s="27" t="s">
        <v>49</v>
      </c>
      <c r="K36" s="27">
        <v>255</v>
      </c>
      <c r="L36" s="27" t="s">
        <v>58</v>
      </c>
      <c r="M36" s="27" t="s">
        <v>79</v>
      </c>
      <c r="P36" s="39" t="s">
        <v>80</v>
      </c>
      <c r="Q36" s="26">
        <f t="shared" si="0"/>
        <v>6005</v>
      </c>
    </row>
    <row r="37" spans="2:17">
      <c r="B37" s="20"/>
      <c r="C37" s="20" t="s">
        <v>75</v>
      </c>
      <c r="D37" s="20" t="s">
        <v>60</v>
      </c>
      <c r="E37" s="22"/>
      <c r="F37" s="22"/>
      <c r="G37" s="23" t="s">
        <v>77</v>
      </c>
      <c r="H37" s="22"/>
      <c r="I37" s="23"/>
      <c r="J37" s="27" t="s">
        <v>49</v>
      </c>
      <c r="K37" s="27">
        <v>255</v>
      </c>
      <c r="L37" s="27" t="s">
        <v>30</v>
      </c>
      <c r="M37" s="27" t="s">
        <v>79</v>
      </c>
      <c r="P37" s="35" t="s">
        <v>81</v>
      </c>
      <c r="Q37" s="26">
        <f t="shared" si="0"/>
        <v>6003</v>
      </c>
    </row>
    <row r="38" spans="2:17">
      <c r="B38" s="20"/>
      <c r="C38" s="20" t="s">
        <v>75</v>
      </c>
      <c r="D38" s="20" t="s">
        <v>60</v>
      </c>
      <c r="E38" s="22"/>
      <c r="F38" s="22"/>
      <c r="G38" s="23" t="s">
        <v>77</v>
      </c>
      <c r="H38" s="22"/>
      <c r="I38" s="23"/>
      <c r="J38" s="27" t="s">
        <v>49</v>
      </c>
      <c r="K38" s="27">
        <v>255</v>
      </c>
      <c r="L38" s="27" t="s">
        <v>46</v>
      </c>
      <c r="M38" s="27" t="s">
        <v>79</v>
      </c>
      <c r="P38" s="35" t="s">
        <v>82</v>
      </c>
      <c r="Q38" s="26">
        <f t="shared" si="0"/>
        <v>6010</v>
      </c>
    </row>
    <row r="39" spans="2:17">
      <c r="B39" s="20"/>
      <c r="C39" s="20" t="s">
        <v>75</v>
      </c>
      <c r="D39" s="20" t="s">
        <v>60</v>
      </c>
      <c r="E39" s="22"/>
      <c r="F39" s="22"/>
      <c r="G39" s="23" t="s">
        <v>19</v>
      </c>
      <c r="H39" s="22"/>
      <c r="I39" s="23"/>
      <c r="J39" s="27" t="s">
        <v>64</v>
      </c>
      <c r="K39" s="27">
        <v>255</v>
      </c>
      <c r="L39" s="27" t="s">
        <v>21</v>
      </c>
      <c r="M39" s="27" t="s">
        <v>83</v>
      </c>
      <c r="P39" s="35" t="s">
        <v>84</v>
      </c>
      <c r="Q39" s="26">
        <f t="shared" si="0"/>
        <v>18001</v>
      </c>
    </row>
    <row r="40" spans="2:17">
      <c r="B40" s="20"/>
      <c r="C40" s="20" t="s">
        <v>75</v>
      </c>
      <c r="D40" s="20" t="s">
        <v>60</v>
      </c>
      <c r="E40" s="22"/>
      <c r="F40" s="22"/>
      <c r="G40" s="23" t="s">
        <v>19</v>
      </c>
      <c r="H40" s="22"/>
      <c r="I40" s="23"/>
      <c r="J40" s="27" t="s">
        <v>64</v>
      </c>
      <c r="K40" s="27">
        <v>255</v>
      </c>
      <c r="L40" s="27" t="s">
        <v>24</v>
      </c>
      <c r="M40" s="27" t="s">
        <v>83</v>
      </c>
      <c r="P40" s="35" t="s">
        <v>85</v>
      </c>
      <c r="Q40" s="26">
        <f t="shared" si="0"/>
        <v>18002</v>
      </c>
    </row>
    <row r="41" spans="2:17">
      <c r="B41" s="20"/>
      <c r="C41" s="20" t="s">
        <v>75</v>
      </c>
      <c r="D41" s="20" t="s">
        <v>60</v>
      </c>
      <c r="E41" s="22"/>
      <c r="F41" s="22"/>
      <c r="G41" s="23" t="s">
        <v>19</v>
      </c>
      <c r="H41" s="22"/>
      <c r="I41" s="23"/>
      <c r="J41" s="27" t="s">
        <v>64</v>
      </c>
      <c r="K41" s="27">
        <v>255</v>
      </c>
      <c r="L41" s="27" t="s">
        <v>44</v>
      </c>
      <c r="M41" s="27" t="s">
        <v>83</v>
      </c>
      <c r="P41" s="35" t="s">
        <v>86</v>
      </c>
      <c r="Q41" s="26">
        <f t="shared" si="0"/>
        <v>18009</v>
      </c>
    </row>
    <row r="42" spans="2:17">
      <c r="B42" s="20"/>
      <c r="C42" s="20" t="s">
        <v>75</v>
      </c>
      <c r="D42" s="20" t="s">
        <v>60</v>
      </c>
      <c r="E42" s="22"/>
      <c r="F42" s="22"/>
      <c r="G42" s="23" t="s">
        <v>19</v>
      </c>
      <c r="H42" s="22"/>
      <c r="I42" s="23"/>
      <c r="J42" s="27" t="s">
        <v>64</v>
      </c>
      <c r="K42" s="27">
        <v>255</v>
      </c>
      <c r="L42" s="27" t="s">
        <v>46</v>
      </c>
      <c r="M42" s="27" t="s">
        <v>83</v>
      </c>
      <c r="P42" s="35" t="s">
        <v>87</v>
      </c>
      <c r="Q42" s="26">
        <f t="shared" si="0"/>
        <v>18010</v>
      </c>
    </row>
    <row r="43" spans="2:17">
      <c r="E43" s="37"/>
      <c r="F43" s="37"/>
      <c r="G43" s="23"/>
      <c r="H43" s="38"/>
      <c r="I43" s="23"/>
      <c r="Q43" s="26"/>
    </row>
    <row r="44" spans="2:17">
      <c r="B44" s="20"/>
      <c r="C44" s="20" t="s">
        <v>53</v>
      </c>
      <c r="D44" s="20" t="s">
        <v>60</v>
      </c>
      <c r="E44" s="22" t="s">
        <v>18</v>
      </c>
      <c r="F44" s="22">
        <v>5</v>
      </c>
      <c r="G44" s="23" t="s">
        <v>19</v>
      </c>
      <c r="H44" s="22" t="s">
        <v>18</v>
      </c>
      <c r="I44" s="23"/>
      <c r="J44" s="27" t="s">
        <v>44</v>
      </c>
      <c r="K44" s="27">
        <v>255</v>
      </c>
      <c r="L44" s="27" t="s">
        <v>88</v>
      </c>
      <c r="M44" s="27" t="s">
        <v>54</v>
      </c>
      <c r="P44" s="35" t="s">
        <v>89</v>
      </c>
      <c r="Q44" s="26">
        <f t="shared" si="0"/>
        <v>9015</v>
      </c>
    </row>
    <row r="45" spans="2:17">
      <c r="B45" s="20"/>
      <c r="C45" s="20" t="s">
        <v>53</v>
      </c>
      <c r="D45" s="20" t="s">
        <v>60</v>
      </c>
      <c r="E45" s="22"/>
      <c r="F45" s="22"/>
      <c r="G45" s="23" t="s">
        <v>19</v>
      </c>
      <c r="H45" s="22"/>
      <c r="I45" s="23"/>
      <c r="J45" s="27" t="s">
        <v>44</v>
      </c>
      <c r="K45" s="27">
        <v>255</v>
      </c>
      <c r="L45" s="27" t="s">
        <v>30</v>
      </c>
      <c r="M45" s="27" t="s">
        <v>54</v>
      </c>
      <c r="P45" s="35" t="s">
        <v>69</v>
      </c>
      <c r="Q45" s="26">
        <f t="shared" si="0"/>
        <v>9003</v>
      </c>
    </row>
    <row r="46" spans="2:17">
      <c r="B46" s="20"/>
      <c r="C46" s="20" t="s">
        <v>53</v>
      </c>
      <c r="D46" s="20" t="s">
        <v>60</v>
      </c>
      <c r="E46" s="22"/>
      <c r="F46" s="22"/>
      <c r="G46" s="23" t="s">
        <v>19</v>
      </c>
      <c r="H46" s="22"/>
      <c r="I46" s="23"/>
      <c r="J46" s="27" t="s">
        <v>44</v>
      </c>
      <c r="K46" s="27">
        <v>255</v>
      </c>
      <c r="L46" s="27" t="s">
        <v>58</v>
      </c>
      <c r="M46" s="27" t="s">
        <v>54</v>
      </c>
      <c r="P46" s="35" t="s">
        <v>90</v>
      </c>
      <c r="Q46" s="26">
        <f t="shared" si="0"/>
        <v>9005</v>
      </c>
    </row>
    <row r="47" spans="2:17">
      <c r="B47" s="20"/>
      <c r="C47" s="20" t="s">
        <v>53</v>
      </c>
      <c r="D47" s="20" t="s">
        <v>60</v>
      </c>
      <c r="E47" s="22"/>
      <c r="F47" s="22"/>
      <c r="G47" s="23" t="s">
        <v>19</v>
      </c>
      <c r="H47" s="22"/>
      <c r="I47" s="23"/>
      <c r="J47" s="27" t="s">
        <v>44</v>
      </c>
      <c r="K47" s="27">
        <v>255</v>
      </c>
      <c r="L47" s="27" t="s">
        <v>41</v>
      </c>
      <c r="M47" s="27" t="s">
        <v>54</v>
      </c>
      <c r="P47" s="35" t="s">
        <v>91</v>
      </c>
      <c r="Q47" s="26">
        <f t="shared" si="0"/>
        <v>9007</v>
      </c>
    </row>
    <row r="48" spans="2:17">
      <c r="B48" s="20"/>
      <c r="C48" s="20" t="s">
        <v>53</v>
      </c>
      <c r="D48" s="20" t="s">
        <v>60</v>
      </c>
      <c r="E48" s="22"/>
      <c r="F48" s="22"/>
      <c r="G48" s="23" t="s">
        <v>19</v>
      </c>
      <c r="H48" s="22"/>
      <c r="I48" s="23"/>
      <c r="J48" s="27" t="s">
        <v>44</v>
      </c>
      <c r="K48" s="27">
        <v>255</v>
      </c>
      <c r="L48" s="27" t="s">
        <v>36</v>
      </c>
      <c r="M48" s="27" t="s">
        <v>54</v>
      </c>
      <c r="P48" s="35" t="s">
        <v>92</v>
      </c>
      <c r="Q48" s="26">
        <f t="shared" si="0"/>
        <v>9008</v>
      </c>
    </row>
    <row r="49" spans="2:17">
      <c r="B49" s="20"/>
      <c r="C49" s="20" t="s">
        <v>53</v>
      </c>
      <c r="D49" s="20" t="s">
        <v>60</v>
      </c>
      <c r="E49" s="22"/>
      <c r="F49" s="22"/>
      <c r="G49" s="23" t="s">
        <v>19</v>
      </c>
      <c r="H49" s="22"/>
      <c r="I49" s="23"/>
      <c r="J49" s="27" t="s">
        <v>44</v>
      </c>
      <c r="K49" s="27">
        <v>255</v>
      </c>
      <c r="L49" s="27" t="s">
        <v>49</v>
      </c>
      <c r="M49" s="27" t="s">
        <v>54</v>
      </c>
      <c r="P49" s="35" t="s">
        <v>93</v>
      </c>
      <c r="Q49" s="26">
        <f t="shared" si="0"/>
        <v>9006</v>
      </c>
    </row>
    <row r="50" spans="2:17">
      <c r="B50" s="20"/>
      <c r="C50" s="20" t="s">
        <v>53</v>
      </c>
      <c r="D50" s="20" t="s">
        <v>60</v>
      </c>
      <c r="E50" s="22"/>
      <c r="F50" s="22"/>
      <c r="G50" s="23" t="s">
        <v>19</v>
      </c>
      <c r="H50" s="22"/>
      <c r="I50" s="23"/>
      <c r="J50" s="27" t="s">
        <v>44</v>
      </c>
      <c r="K50" s="27">
        <v>255</v>
      </c>
      <c r="L50" s="27" t="s">
        <v>94</v>
      </c>
      <c r="M50" s="27" t="s">
        <v>54</v>
      </c>
      <c r="P50" s="35" t="s">
        <v>95</v>
      </c>
      <c r="Q50" s="26">
        <f t="shared" si="0"/>
        <v>9016</v>
      </c>
    </row>
    <row r="51" spans="2:17">
      <c r="E51" s="37"/>
      <c r="F51" s="37"/>
      <c r="G51" s="23"/>
      <c r="H51" s="38"/>
      <c r="I51" s="23"/>
      <c r="Q51" s="26"/>
    </row>
    <row r="52" spans="2:17">
      <c r="B52" s="20"/>
      <c r="C52" s="20" t="s">
        <v>96</v>
      </c>
      <c r="D52" s="20" t="s">
        <v>60</v>
      </c>
      <c r="E52" s="38" t="s">
        <v>18</v>
      </c>
      <c r="F52" s="38">
        <v>5</v>
      </c>
      <c r="G52" s="23">
        <v>1</v>
      </c>
      <c r="H52" s="38" t="s">
        <v>18</v>
      </c>
      <c r="I52" s="23"/>
      <c r="J52" s="27" t="s">
        <v>30</v>
      </c>
      <c r="K52" s="27">
        <v>1</v>
      </c>
      <c r="L52" s="27" t="s">
        <v>58</v>
      </c>
      <c r="M52" s="27" t="s">
        <v>97</v>
      </c>
      <c r="P52" s="35" t="s">
        <v>98</v>
      </c>
      <c r="Q52" s="26">
        <f t="shared" si="0"/>
        <v>3005</v>
      </c>
    </row>
    <row r="53" spans="2:17">
      <c r="E53" s="37"/>
      <c r="F53" s="37"/>
      <c r="H53" s="38"/>
      <c r="I53" s="23"/>
      <c r="Q53" s="26"/>
    </row>
    <row r="54" spans="2:17">
      <c r="B54" s="20"/>
      <c r="C54" s="20" t="s">
        <v>99</v>
      </c>
      <c r="D54" s="20" t="s">
        <v>60</v>
      </c>
      <c r="E54" s="38"/>
      <c r="F54" s="38">
        <v>5</v>
      </c>
      <c r="G54" s="23" t="s">
        <v>19</v>
      </c>
      <c r="H54" s="38"/>
      <c r="I54" s="23"/>
      <c r="J54" s="27" t="s">
        <v>62</v>
      </c>
      <c r="K54" s="27">
        <v>255</v>
      </c>
      <c r="L54" s="27" t="s">
        <v>21</v>
      </c>
      <c r="M54" s="27" t="s">
        <v>100</v>
      </c>
      <c r="P54" s="39" t="s">
        <v>101</v>
      </c>
      <c r="Q54" s="26">
        <f t="shared" si="0"/>
        <v>17001</v>
      </c>
    </row>
    <row r="55" spans="2:17">
      <c r="E55" s="37"/>
      <c r="F55" s="37"/>
      <c r="H55" s="38"/>
      <c r="I55" s="23"/>
      <c r="N55" s="32"/>
      <c r="O55" s="32"/>
      <c r="Q55" s="26"/>
    </row>
    <row r="56" spans="2:17">
      <c r="B56" s="40"/>
      <c r="C56" s="40" t="s">
        <v>102</v>
      </c>
      <c r="D56" s="40" t="s">
        <v>103</v>
      </c>
      <c r="E56" s="38" t="s">
        <v>18</v>
      </c>
      <c r="F56" s="38">
        <v>5</v>
      </c>
      <c r="G56" s="23" t="s">
        <v>77</v>
      </c>
      <c r="H56" s="38" t="s">
        <v>18</v>
      </c>
      <c r="I56" s="34"/>
      <c r="J56" s="27" t="s">
        <v>72</v>
      </c>
      <c r="K56" s="27">
        <v>255</v>
      </c>
      <c r="L56" s="27" t="s">
        <v>58</v>
      </c>
      <c r="M56" s="27" t="s">
        <v>104</v>
      </c>
      <c r="N56" s="32"/>
      <c r="O56" s="32"/>
      <c r="P56" s="35" t="s">
        <v>105</v>
      </c>
      <c r="Q56" s="26">
        <f t="shared" si="0"/>
        <v>14005</v>
      </c>
    </row>
    <row r="57" spans="2:17">
      <c r="B57" s="41"/>
      <c r="C57" s="40"/>
      <c r="D57" s="41"/>
      <c r="E57" s="42"/>
      <c r="F57" s="42"/>
      <c r="G57" s="43"/>
      <c r="H57" s="42"/>
      <c r="I57" s="34"/>
      <c r="P57" s="40"/>
      <c r="Q57" s="26"/>
    </row>
    <row r="58" spans="2:17">
      <c r="B58" s="40"/>
      <c r="C58" s="40" t="s">
        <v>106</v>
      </c>
      <c r="D58" s="40" t="s">
        <v>103</v>
      </c>
      <c r="E58" s="42" t="s">
        <v>18</v>
      </c>
      <c r="F58" s="42">
        <v>1</v>
      </c>
      <c r="G58" s="43" t="s">
        <v>19</v>
      </c>
      <c r="H58" s="42" t="s">
        <v>18</v>
      </c>
      <c r="I58" s="34"/>
      <c r="J58" s="27" t="s">
        <v>30</v>
      </c>
      <c r="K58" s="27">
        <v>1</v>
      </c>
      <c r="L58" s="27" t="s">
        <v>107</v>
      </c>
      <c r="M58" s="27" t="s">
        <v>97</v>
      </c>
      <c r="P58" s="44" t="s">
        <v>108</v>
      </c>
      <c r="Q58" s="26">
        <f t="shared" si="0"/>
        <v>3011</v>
      </c>
    </row>
    <row r="59" spans="2:17">
      <c r="B59" s="41"/>
      <c r="C59" s="40"/>
      <c r="D59" s="41"/>
      <c r="E59" s="42"/>
      <c r="F59" s="42"/>
      <c r="G59" s="43"/>
      <c r="H59" s="42"/>
      <c r="I59" s="34"/>
      <c r="Q59" s="26"/>
    </row>
    <row r="60" spans="2:17">
      <c r="B60" s="40"/>
      <c r="C60" s="40" t="s">
        <v>109</v>
      </c>
      <c r="D60" s="40" t="s">
        <v>103</v>
      </c>
      <c r="E60" s="22" t="s">
        <v>18</v>
      </c>
      <c r="F60" s="22">
        <v>2</v>
      </c>
      <c r="G60" s="43">
        <v>1</v>
      </c>
      <c r="H60" s="22" t="s">
        <v>18</v>
      </c>
      <c r="I60" s="34"/>
      <c r="J60" s="27" t="s">
        <v>21</v>
      </c>
      <c r="K60" s="27">
        <v>1</v>
      </c>
      <c r="L60" s="27" t="s">
        <v>44</v>
      </c>
      <c r="M60" s="27" t="s">
        <v>110</v>
      </c>
      <c r="P60" s="20" t="s">
        <v>111</v>
      </c>
      <c r="Q60" s="26">
        <f t="shared" si="0"/>
        <v>1009</v>
      </c>
    </row>
    <row r="61" spans="2:17">
      <c r="B61" s="40"/>
      <c r="C61" s="40" t="s">
        <v>109</v>
      </c>
      <c r="D61" s="40" t="s">
        <v>103</v>
      </c>
      <c r="E61" s="22"/>
      <c r="F61" s="22"/>
      <c r="G61" s="43">
        <v>1</v>
      </c>
      <c r="H61" s="22"/>
      <c r="I61" s="34"/>
      <c r="J61" s="27" t="s">
        <v>21</v>
      </c>
      <c r="K61" s="27">
        <v>1</v>
      </c>
      <c r="L61" s="27" t="s">
        <v>62</v>
      </c>
      <c r="M61" s="27" t="s">
        <v>110</v>
      </c>
      <c r="P61" s="20" t="s">
        <v>112</v>
      </c>
      <c r="Q61" s="26">
        <f t="shared" si="0"/>
        <v>1017</v>
      </c>
    </row>
    <row r="62" spans="2:17">
      <c r="B62" s="40"/>
      <c r="C62" s="40" t="s">
        <v>109</v>
      </c>
      <c r="D62" s="40" t="s">
        <v>103</v>
      </c>
      <c r="E62" s="22"/>
      <c r="F62" s="22"/>
      <c r="G62" s="43">
        <v>1</v>
      </c>
      <c r="H62" s="22"/>
      <c r="I62" s="34"/>
      <c r="J62" s="27" t="s">
        <v>21</v>
      </c>
      <c r="K62" s="27">
        <v>1</v>
      </c>
      <c r="L62" s="27" t="s">
        <v>58</v>
      </c>
      <c r="M62" s="27" t="s">
        <v>110</v>
      </c>
      <c r="P62" s="20" t="s">
        <v>113</v>
      </c>
      <c r="Q62" s="26">
        <f t="shared" si="0"/>
        <v>1005</v>
      </c>
    </row>
    <row r="63" spans="2:17">
      <c r="B63" s="40"/>
      <c r="C63" s="40" t="s">
        <v>109</v>
      </c>
      <c r="D63" s="40" t="s">
        <v>103</v>
      </c>
      <c r="E63" s="22"/>
      <c r="F63" s="22"/>
      <c r="G63" s="43">
        <v>1</v>
      </c>
      <c r="H63" s="22"/>
      <c r="I63" s="34"/>
      <c r="J63" s="27" t="s">
        <v>21</v>
      </c>
      <c r="K63" s="27">
        <v>1</v>
      </c>
      <c r="L63" s="27" t="s">
        <v>114</v>
      </c>
      <c r="M63" s="27" t="s">
        <v>110</v>
      </c>
      <c r="P63" s="20" t="s">
        <v>115</v>
      </c>
      <c r="Q63" s="26">
        <f t="shared" si="0"/>
        <v>1032</v>
      </c>
    </row>
    <row r="64" spans="2:17">
      <c r="B64" s="40"/>
      <c r="C64" s="40" t="s">
        <v>109</v>
      </c>
      <c r="D64" s="40" t="s">
        <v>103</v>
      </c>
      <c r="E64" s="22"/>
      <c r="F64" s="22"/>
      <c r="G64" s="43">
        <v>1</v>
      </c>
      <c r="H64" s="22"/>
      <c r="I64" s="34"/>
      <c r="J64" s="27" t="s">
        <v>21</v>
      </c>
      <c r="K64" s="27">
        <v>1</v>
      </c>
      <c r="L64" s="27" t="s">
        <v>36</v>
      </c>
      <c r="M64" s="27" t="s">
        <v>110</v>
      </c>
      <c r="P64" s="20" t="s">
        <v>116</v>
      </c>
      <c r="Q64" s="26">
        <f t="shared" si="0"/>
        <v>1008</v>
      </c>
    </row>
    <row r="65" spans="2:17">
      <c r="B65" s="40"/>
      <c r="C65" s="40" t="s">
        <v>109</v>
      </c>
      <c r="D65" s="40" t="s">
        <v>103</v>
      </c>
      <c r="E65" s="22"/>
      <c r="F65" s="22"/>
      <c r="G65" s="43">
        <v>1</v>
      </c>
      <c r="H65" s="22"/>
      <c r="I65" s="34"/>
      <c r="J65" s="27" t="s">
        <v>21</v>
      </c>
      <c r="K65" s="27">
        <v>1</v>
      </c>
      <c r="L65" s="27" t="s">
        <v>117</v>
      </c>
      <c r="M65" s="27" t="s">
        <v>110</v>
      </c>
      <c r="P65" s="35" t="s">
        <v>118</v>
      </c>
      <c r="Q65" s="26">
        <f t="shared" si="0"/>
        <v>1013</v>
      </c>
    </row>
    <row r="66" spans="2:17">
      <c r="B66" s="40"/>
      <c r="C66" s="40" t="s">
        <v>109</v>
      </c>
      <c r="D66" s="40" t="s">
        <v>103</v>
      </c>
      <c r="E66" s="22"/>
      <c r="F66" s="38"/>
      <c r="G66" s="43">
        <v>1</v>
      </c>
      <c r="H66" s="22"/>
      <c r="I66" s="34"/>
      <c r="J66" s="27" t="s">
        <v>30</v>
      </c>
      <c r="K66" s="27">
        <v>1</v>
      </c>
      <c r="L66" s="27" t="s">
        <v>39</v>
      </c>
      <c r="M66" s="27" t="s">
        <v>97</v>
      </c>
      <c r="P66" s="35" t="s">
        <v>119</v>
      </c>
      <c r="Q66" s="26">
        <f t="shared" si="0"/>
        <v>3026</v>
      </c>
    </row>
    <row r="67" spans="2:17">
      <c r="B67" s="41"/>
      <c r="C67" s="40"/>
      <c r="D67" s="41"/>
      <c r="E67" s="42"/>
      <c r="F67" s="42"/>
      <c r="G67" s="43"/>
      <c r="H67" s="42"/>
      <c r="I67" s="34"/>
      <c r="P67" s="40"/>
      <c r="Q67" s="26"/>
    </row>
    <row r="68" spans="2:17">
      <c r="B68" s="40"/>
      <c r="C68" s="40" t="s">
        <v>120</v>
      </c>
      <c r="D68" s="40" t="s">
        <v>103</v>
      </c>
      <c r="E68" s="22" t="s">
        <v>18</v>
      </c>
      <c r="F68" s="22">
        <v>5</v>
      </c>
      <c r="G68" s="43" t="s">
        <v>19</v>
      </c>
      <c r="H68" s="45" t="s">
        <v>18</v>
      </c>
      <c r="I68" s="34"/>
      <c r="J68" s="27" t="s">
        <v>20</v>
      </c>
      <c r="K68" s="27">
        <v>255</v>
      </c>
      <c r="L68" s="27" t="s">
        <v>121</v>
      </c>
      <c r="M68" s="27" t="s">
        <v>22</v>
      </c>
      <c r="P68" s="20" t="s">
        <v>122</v>
      </c>
      <c r="Q68" s="26">
        <f t="shared" ref="Q68:Q107" si="1">HEX2DEC(RIGHT(J68,2))*1000+HEX2DEC(RIGHT(L68,2))</f>
        <v>4021</v>
      </c>
    </row>
    <row r="69" spans="2:17">
      <c r="B69" s="40"/>
      <c r="C69" s="40" t="s">
        <v>120</v>
      </c>
      <c r="D69" s="40" t="s">
        <v>103</v>
      </c>
      <c r="E69" s="22"/>
      <c r="F69" s="22"/>
      <c r="G69" s="43" t="s">
        <v>19</v>
      </c>
      <c r="H69" s="45"/>
      <c r="I69" s="34"/>
      <c r="J69" s="27" t="s">
        <v>20</v>
      </c>
      <c r="K69" s="27">
        <v>255</v>
      </c>
      <c r="L69" s="27" t="s">
        <v>46</v>
      </c>
      <c r="M69" s="27" t="s">
        <v>22</v>
      </c>
      <c r="P69" s="20" t="s">
        <v>123</v>
      </c>
      <c r="Q69" s="26">
        <f t="shared" si="1"/>
        <v>4010</v>
      </c>
    </row>
    <row r="70" spans="2:17">
      <c r="B70" s="40"/>
      <c r="C70" s="40" t="s">
        <v>120</v>
      </c>
      <c r="D70" s="40" t="s">
        <v>103</v>
      </c>
      <c r="E70" s="22"/>
      <c r="F70" s="22"/>
      <c r="G70" s="43" t="s">
        <v>19</v>
      </c>
      <c r="H70" s="22"/>
      <c r="I70" s="34"/>
      <c r="J70" s="27" t="s">
        <v>20</v>
      </c>
      <c r="K70" s="27">
        <v>255</v>
      </c>
      <c r="L70" s="27" t="s">
        <v>107</v>
      </c>
      <c r="M70" s="27" t="s">
        <v>22</v>
      </c>
      <c r="P70" s="20" t="s">
        <v>124</v>
      </c>
      <c r="Q70" s="26">
        <f t="shared" si="1"/>
        <v>4011</v>
      </c>
    </row>
    <row r="71" spans="2:17">
      <c r="B71" s="40"/>
      <c r="C71" s="40" t="s">
        <v>120</v>
      </c>
      <c r="D71" s="40" t="s">
        <v>103</v>
      </c>
      <c r="E71" s="22"/>
      <c r="F71" s="22"/>
      <c r="G71" s="43" t="s">
        <v>19</v>
      </c>
      <c r="H71" s="22" t="s">
        <v>125</v>
      </c>
      <c r="I71" s="34"/>
      <c r="J71" s="27" t="s">
        <v>64</v>
      </c>
      <c r="K71" s="27">
        <v>255</v>
      </c>
      <c r="L71" s="27" t="s">
        <v>58</v>
      </c>
      <c r="M71" s="27" t="s">
        <v>83</v>
      </c>
      <c r="P71" s="20" t="s">
        <v>111</v>
      </c>
      <c r="Q71" s="26">
        <f t="shared" si="1"/>
        <v>18005</v>
      </c>
    </row>
    <row r="72" spans="2:17">
      <c r="B72" s="40"/>
      <c r="C72" s="40" t="s">
        <v>120</v>
      </c>
      <c r="D72" s="40" t="s">
        <v>103</v>
      </c>
      <c r="E72" s="22"/>
      <c r="F72" s="22"/>
      <c r="G72" s="43" t="s">
        <v>19</v>
      </c>
      <c r="H72" s="22"/>
      <c r="I72" s="34"/>
      <c r="J72" s="27" t="s">
        <v>64</v>
      </c>
      <c r="K72" s="27">
        <v>255</v>
      </c>
      <c r="L72" s="27" t="s">
        <v>49</v>
      </c>
      <c r="M72" s="27" t="s">
        <v>83</v>
      </c>
      <c r="P72" s="20" t="s">
        <v>126</v>
      </c>
      <c r="Q72" s="26">
        <f t="shared" si="1"/>
        <v>18006</v>
      </c>
    </row>
    <row r="73" spans="2:17">
      <c r="B73" s="40"/>
      <c r="C73" s="40" t="s">
        <v>120</v>
      </c>
      <c r="D73" s="40" t="s">
        <v>103</v>
      </c>
      <c r="E73" s="30" t="s">
        <v>18</v>
      </c>
      <c r="F73" s="38">
        <v>5</v>
      </c>
      <c r="G73" s="43">
        <v>1</v>
      </c>
      <c r="H73" s="30" t="s">
        <v>18</v>
      </c>
      <c r="I73" s="34"/>
      <c r="J73" s="27" t="s">
        <v>21</v>
      </c>
      <c r="K73" s="27">
        <v>1</v>
      </c>
      <c r="L73" s="27" t="s">
        <v>127</v>
      </c>
      <c r="M73" s="27" t="s">
        <v>110</v>
      </c>
      <c r="P73" s="20" t="s">
        <v>128</v>
      </c>
      <c r="Q73" s="26">
        <f t="shared" si="1"/>
        <v>1046</v>
      </c>
    </row>
    <row r="74" spans="2:17">
      <c r="B74" s="40"/>
      <c r="C74" s="40" t="s">
        <v>120</v>
      </c>
      <c r="D74" s="40" t="s">
        <v>103</v>
      </c>
      <c r="E74" s="30" t="s">
        <v>18</v>
      </c>
      <c r="F74" s="38">
        <v>5</v>
      </c>
      <c r="G74" s="43">
        <v>1</v>
      </c>
      <c r="H74" s="30" t="s">
        <v>18</v>
      </c>
      <c r="I74" s="34"/>
      <c r="J74" s="27" t="s">
        <v>21</v>
      </c>
      <c r="K74" s="27">
        <v>1</v>
      </c>
      <c r="L74" s="27" t="s">
        <v>129</v>
      </c>
      <c r="M74" s="27" t="s">
        <v>110</v>
      </c>
      <c r="P74" s="20" t="s">
        <v>130</v>
      </c>
      <c r="Q74" s="26">
        <f t="shared" si="1"/>
        <v>1047</v>
      </c>
    </row>
    <row r="75" spans="2:17">
      <c r="Q75" s="26"/>
    </row>
    <row r="76" spans="2:17" ht="15.75">
      <c r="B76" s="46"/>
      <c r="D76" s="46" t="s">
        <v>57</v>
      </c>
      <c r="E76" s="47" t="s">
        <v>18</v>
      </c>
      <c r="F76" s="47">
        <v>1</v>
      </c>
      <c r="J76" s="27" t="s">
        <v>30</v>
      </c>
      <c r="K76" s="27">
        <v>1</v>
      </c>
      <c r="L76" s="27" t="s">
        <v>107</v>
      </c>
      <c r="M76" s="27" t="s">
        <v>97</v>
      </c>
      <c r="N76" s="48">
        <v>5</v>
      </c>
      <c r="O76" s="49" t="s">
        <v>131</v>
      </c>
      <c r="P76" s="20" t="s">
        <v>132</v>
      </c>
      <c r="Q76" s="26">
        <f t="shared" si="1"/>
        <v>3011</v>
      </c>
    </row>
    <row r="77" spans="2:17" ht="15.75">
      <c r="B77" s="46"/>
      <c r="D77" s="46" t="s">
        <v>57</v>
      </c>
      <c r="E77" s="47"/>
      <c r="F77" s="47"/>
      <c r="G77" s="23"/>
      <c r="H77" s="37"/>
      <c r="I77" s="23"/>
      <c r="J77" s="27" t="s">
        <v>20</v>
      </c>
      <c r="K77" s="27">
        <v>1</v>
      </c>
      <c r="L77" s="27" t="s">
        <v>58</v>
      </c>
      <c r="M77" s="27" t="s">
        <v>22</v>
      </c>
      <c r="N77" s="48" t="s">
        <v>133</v>
      </c>
      <c r="O77" s="49" t="s">
        <v>134</v>
      </c>
      <c r="P77" s="20" t="s">
        <v>135</v>
      </c>
      <c r="Q77" s="26">
        <f t="shared" si="1"/>
        <v>4005</v>
      </c>
    </row>
    <row r="78" spans="2:17" ht="15.75">
      <c r="B78" s="46"/>
      <c r="D78" s="46" t="s">
        <v>57</v>
      </c>
      <c r="E78" s="47"/>
      <c r="F78" s="47"/>
      <c r="G78" s="23"/>
      <c r="H78" s="37"/>
      <c r="I78" s="23"/>
      <c r="J78" s="27" t="s">
        <v>20</v>
      </c>
      <c r="K78" s="27">
        <v>1</v>
      </c>
      <c r="L78" s="27" t="s">
        <v>49</v>
      </c>
      <c r="M78" s="27" t="s">
        <v>22</v>
      </c>
      <c r="N78" s="48" t="s">
        <v>136</v>
      </c>
      <c r="O78" s="49" t="s">
        <v>137</v>
      </c>
      <c r="P78" s="20" t="s">
        <v>138</v>
      </c>
      <c r="Q78" s="26">
        <f t="shared" si="1"/>
        <v>4006</v>
      </c>
    </row>
    <row r="79" spans="2:17" ht="15.75">
      <c r="B79" s="46"/>
      <c r="D79" s="46" t="s">
        <v>57</v>
      </c>
      <c r="E79" s="47"/>
      <c r="F79" s="47"/>
      <c r="G79" s="23"/>
      <c r="H79" s="37"/>
      <c r="I79" s="23"/>
      <c r="J79" s="27" t="s">
        <v>20</v>
      </c>
      <c r="K79" s="27">
        <v>1</v>
      </c>
      <c r="L79" s="27" t="s">
        <v>66</v>
      </c>
      <c r="M79" s="27" t="s">
        <v>22</v>
      </c>
      <c r="N79" s="48">
        <v>0</v>
      </c>
      <c r="O79" s="49" t="s">
        <v>139</v>
      </c>
      <c r="P79" s="20" t="s">
        <v>140</v>
      </c>
      <c r="Q79" s="26">
        <f t="shared" si="1"/>
        <v>4020</v>
      </c>
    </row>
    <row r="80" spans="2:17" ht="15.75">
      <c r="B80" s="46"/>
      <c r="D80" s="46" t="s">
        <v>57</v>
      </c>
      <c r="E80" s="47"/>
      <c r="F80" s="47"/>
      <c r="G80" s="23"/>
      <c r="H80" s="38"/>
      <c r="I80" s="23"/>
      <c r="J80" s="27" t="s">
        <v>30</v>
      </c>
      <c r="K80" s="27">
        <v>1</v>
      </c>
      <c r="L80" s="27" t="s">
        <v>58</v>
      </c>
      <c r="M80" s="27" t="s">
        <v>97</v>
      </c>
      <c r="N80" s="48" t="s">
        <v>141</v>
      </c>
      <c r="O80" s="49" t="s">
        <v>142</v>
      </c>
      <c r="P80" s="20" t="s">
        <v>98</v>
      </c>
      <c r="Q80" s="26">
        <f t="shared" si="1"/>
        <v>3005</v>
      </c>
    </row>
    <row r="81" spans="2:17" ht="15.75">
      <c r="B81" s="46"/>
      <c r="D81" s="46" t="s">
        <v>57</v>
      </c>
      <c r="E81" s="47"/>
      <c r="F81" s="47"/>
      <c r="G81" s="23"/>
      <c r="H81" s="37"/>
      <c r="I81" s="23"/>
      <c r="J81" s="27" t="s">
        <v>20</v>
      </c>
      <c r="K81" s="27">
        <v>1</v>
      </c>
      <c r="L81" s="27" t="s">
        <v>62</v>
      </c>
      <c r="M81" s="27" t="s">
        <v>22</v>
      </c>
      <c r="N81" s="48">
        <v>0</v>
      </c>
      <c r="O81" s="49" t="s">
        <v>143</v>
      </c>
      <c r="P81" s="20" t="s">
        <v>144</v>
      </c>
      <c r="Q81" s="26">
        <f t="shared" si="1"/>
        <v>4017</v>
      </c>
    </row>
    <row r="82" spans="2:17" ht="15.75">
      <c r="B82" s="46"/>
      <c r="D82" s="46" t="s">
        <v>57</v>
      </c>
      <c r="E82" s="47"/>
      <c r="F82" s="47"/>
      <c r="G82" s="23"/>
      <c r="H82" s="37"/>
      <c r="I82" s="23"/>
      <c r="J82" s="27" t="s">
        <v>20</v>
      </c>
      <c r="K82" s="27">
        <v>1</v>
      </c>
      <c r="L82" s="27" t="s">
        <v>64</v>
      </c>
      <c r="M82" s="27" t="s">
        <v>22</v>
      </c>
      <c r="N82" s="48">
        <v>9999</v>
      </c>
      <c r="O82" s="49" t="s">
        <v>145</v>
      </c>
      <c r="P82" s="20" t="s">
        <v>146</v>
      </c>
      <c r="Q82" s="26">
        <f t="shared" si="1"/>
        <v>4018</v>
      </c>
    </row>
    <row r="83" spans="2:17" ht="15.75">
      <c r="B83" s="46"/>
      <c r="D83" s="46" t="s">
        <v>57</v>
      </c>
      <c r="E83" s="47"/>
      <c r="F83" s="47"/>
      <c r="G83" s="23"/>
      <c r="H83" s="37"/>
      <c r="I83" s="23"/>
      <c r="J83" s="27" t="s">
        <v>49</v>
      </c>
      <c r="K83" s="27">
        <v>1</v>
      </c>
      <c r="L83" s="27" t="s">
        <v>58</v>
      </c>
      <c r="M83" s="27" t="s">
        <v>79</v>
      </c>
      <c r="N83" s="48" t="s">
        <v>147</v>
      </c>
      <c r="O83" s="49" t="s">
        <v>148</v>
      </c>
      <c r="P83" s="20" t="s">
        <v>149</v>
      </c>
      <c r="Q83" s="26">
        <f t="shared" si="1"/>
        <v>6005</v>
      </c>
    </row>
    <row r="84" spans="2:17" ht="15.75">
      <c r="B84" s="46"/>
      <c r="D84" s="46" t="s">
        <v>57</v>
      </c>
      <c r="E84" s="47"/>
      <c r="F84" s="47"/>
      <c r="G84" s="23"/>
      <c r="I84" s="23"/>
      <c r="J84" s="27" t="s">
        <v>64</v>
      </c>
      <c r="K84" s="27">
        <v>1</v>
      </c>
      <c r="L84" s="27" t="s">
        <v>24</v>
      </c>
      <c r="M84" s="27" t="s">
        <v>83</v>
      </c>
      <c r="N84" s="48" t="s">
        <v>147</v>
      </c>
      <c r="O84" s="49" t="s">
        <v>150</v>
      </c>
      <c r="P84" s="20" t="s">
        <v>151</v>
      </c>
      <c r="Q84" s="26">
        <f t="shared" si="1"/>
        <v>18002</v>
      </c>
    </row>
    <row r="85" spans="2:17" ht="15.75">
      <c r="B85" s="46"/>
      <c r="D85" s="46" t="s">
        <v>57</v>
      </c>
      <c r="E85" s="47"/>
      <c r="F85" s="47"/>
      <c r="G85" s="23"/>
      <c r="H85" s="37"/>
      <c r="I85" s="23"/>
      <c r="J85" s="27" t="s">
        <v>64</v>
      </c>
      <c r="K85" s="27">
        <v>1</v>
      </c>
      <c r="L85" s="27" t="s">
        <v>21</v>
      </c>
      <c r="M85" s="27" t="s">
        <v>83</v>
      </c>
      <c r="N85" s="48" t="s">
        <v>152</v>
      </c>
      <c r="O85" s="49" t="s">
        <v>153</v>
      </c>
      <c r="P85" s="20" t="s">
        <v>154</v>
      </c>
      <c r="Q85" s="26">
        <f t="shared" si="1"/>
        <v>18001</v>
      </c>
    </row>
    <row r="86" spans="2:17" ht="15.75">
      <c r="B86" s="46"/>
      <c r="D86" s="46" t="s">
        <v>57</v>
      </c>
      <c r="E86" s="47"/>
      <c r="F86" s="47"/>
      <c r="G86" s="23"/>
      <c r="H86" s="37"/>
      <c r="I86" s="23"/>
      <c r="J86" s="27" t="s">
        <v>49</v>
      </c>
      <c r="K86" s="27">
        <v>2</v>
      </c>
      <c r="L86" s="27" t="s">
        <v>58</v>
      </c>
      <c r="M86" s="27" t="s">
        <v>79</v>
      </c>
      <c r="N86" s="48" t="s">
        <v>155</v>
      </c>
      <c r="O86" s="49" t="s">
        <v>150</v>
      </c>
      <c r="P86" s="20" t="s">
        <v>156</v>
      </c>
      <c r="Q86" s="26">
        <f t="shared" si="1"/>
        <v>6005</v>
      </c>
    </row>
    <row r="87" spans="2:17" ht="15.75">
      <c r="B87" s="46"/>
      <c r="D87" s="46" t="s">
        <v>57</v>
      </c>
      <c r="E87" s="47"/>
      <c r="F87" s="47"/>
      <c r="G87" s="23"/>
      <c r="H87" s="37"/>
      <c r="I87" s="23"/>
      <c r="J87" s="27" t="s">
        <v>36</v>
      </c>
      <c r="K87" s="27">
        <v>1</v>
      </c>
      <c r="L87" s="27" t="s">
        <v>30</v>
      </c>
      <c r="M87" s="27" t="s">
        <v>37</v>
      </c>
      <c r="N87" s="48" t="s">
        <v>157</v>
      </c>
      <c r="O87" s="49" t="s">
        <v>158</v>
      </c>
      <c r="P87" s="20" t="s">
        <v>70</v>
      </c>
      <c r="Q87" s="26">
        <f t="shared" si="1"/>
        <v>8003</v>
      </c>
    </row>
    <row r="88" spans="2:17" ht="15.75">
      <c r="B88" s="46"/>
      <c r="D88" s="46" t="s">
        <v>57</v>
      </c>
      <c r="E88" s="47"/>
      <c r="F88" s="47"/>
      <c r="G88" s="23"/>
      <c r="H88" s="37"/>
      <c r="I88" s="23"/>
      <c r="J88" s="27" t="s">
        <v>36</v>
      </c>
      <c r="K88" s="27">
        <v>1</v>
      </c>
      <c r="L88" s="27" t="s">
        <v>20</v>
      </c>
      <c r="M88" s="27" t="s">
        <v>37</v>
      </c>
      <c r="N88" s="48" t="s">
        <v>155</v>
      </c>
      <c r="O88" s="49" t="s">
        <v>159</v>
      </c>
      <c r="P88" s="20" t="s">
        <v>71</v>
      </c>
      <c r="Q88" s="26">
        <f t="shared" si="1"/>
        <v>8004</v>
      </c>
    </row>
    <row r="89" spans="2:17" ht="15.75">
      <c r="B89" s="46"/>
      <c r="D89" s="46" t="s">
        <v>57</v>
      </c>
      <c r="E89" s="47"/>
      <c r="F89" s="47"/>
      <c r="G89" s="23"/>
      <c r="J89" s="27" t="s">
        <v>36</v>
      </c>
      <c r="K89" s="27">
        <v>1</v>
      </c>
      <c r="L89" s="27" t="s">
        <v>46</v>
      </c>
      <c r="M89" s="27" t="s">
        <v>37</v>
      </c>
      <c r="N89" s="50" t="s">
        <v>160</v>
      </c>
      <c r="O89" s="49" t="s">
        <v>161</v>
      </c>
      <c r="P89" s="20" t="s">
        <v>162</v>
      </c>
      <c r="Q89" s="26">
        <f t="shared" si="1"/>
        <v>8010</v>
      </c>
    </row>
    <row r="90" spans="2:17" ht="15.75">
      <c r="B90" s="46"/>
      <c r="D90" s="46" t="s">
        <v>57</v>
      </c>
      <c r="E90" s="47"/>
      <c r="F90" s="47"/>
      <c r="G90" s="23"/>
      <c r="H90" s="37"/>
      <c r="I90" s="23"/>
      <c r="J90" s="27" t="s">
        <v>26</v>
      </c>
      <c r="K90" s="27">
        <v>1</v>
      </c>
      <c r="L90" s="27" t="s">
        <v>58</v>
      </c>
      <c r="M90" s="27" t="s">
        <v>31</v>
      </c>
      <c r="N90" s="48" t="s">
        <v>163</v>
      </c>
      <c r="O90" s="49" t="s">
        <v>164</v>
      </c>
      <c r="P90" s="20" t="s">
        <v>165</v>
      </c>
      <c r="Q90" s="26">
        <f t="shared" si="1"/>
        <v>12005</v>
      </c>
    </row>
    <row r="91" spans="2:17" ht="15.75">
      <c r="B91" s="46"/>
      <c r="D91" s="46" t="s">
        <v>57</v>
      </c>
      <c r="E91" s="47"/>
      <c r="F91" s="47"/>
      <c r="G91" s="23"/>
      <c r="H91" s="37"/>
      <c r="I91" s="23"/>
      <c r="J91" s="27" t="s">
        <v>26</v>
      </c>
      <c r="K91" s="27">
        <v>1</v>
      </c>
      <c r="L91" s="27" t="s">
        <v>24</v>
      </c>
      <c r="M91" s="27" t="s">
        <v>31</v>
      </c>
      <c r="N91" s="50" t="s">
        <v>160</v>
      </c>
      <c r="O91" s="49" t="s">
        <v>166</v>
      </c>
      <c r="P91" s="20" t="s">
        <v>167</v>
      </c>
      <c r="Q91" s="26">
        <f t="shared" si="1"/>
        <v>12002</v>
      </c>
    </row>
    <row r="92" spans="2:17" ht="15.75">
      <c r="B92" s="46"/>
      <c r="D92" s="46" t="s">
        <v>57</v>
      </c>
      <c r="E92" s="47"/>
      <c r="F92" s="47"/>
      <c r="G92" s="23"/>
      <c r="H92" s="37"/>
      <c r="I92" s="23"/>
      <c r="J92" s="27" t="s">
        <v>44</v>
      </c>
      <c r="K92" s="27">
        <v>1</v>
      </c>
      <c r="L92" s="27" t="s">
        <v>88</v>
      </c>
      <c r="M92" s="27" t="s">
        <v>54</v>
      </c>
      <c r="N92" s="48" t="s">
        <v>155</v>
      </c>
      <c r="O92" s="49" t="s">
        <v>168</v>
      </c>
      <c r="P92" s="20" t="s">
        <v>169</v>
      </c>
      <c r="Q92" s="26">
        <f t="shared" si="1"/>
        <v>9015</v>
      </c>
    </row>
    <row r="93" spans="2:17" ht="15.75">
      <c r="B93" s="46"/>
      <c r="D93" s="46" t="s">
        <v>57</v>
      </c>
      <c r="E93" s="47"/>
      <c r="F93" s="47"/>
      <c r="G93" s="23"/>
      <c r="H93" s="37"/>
      <c r="I93" s="23"/>
      <c r="J93" s="27" t="s">
        <v>44</v>
      </c>
      <c r="K93" s="27">
        <v>1</v>
      </c>
      <c r="L93" s="27" t="s">
        <v>30</v>
      </c>
      <c r="M93" s="27" t="s">
        <v>54</v>
      </c>
      <c r="N93" s="50" t="s">
        <v>170</v>
      </c>
      <c r="O93" s="49" t="s">
        <v>171</v>
      </c>
      <c r="P93" s="20" t="s">
        <v>172</v>
      </c>
      <c r="Q93" s="26">
        <f t="shared" si="1"/>
        <v>9003</v>
      </c>
    </row>
    <row r="94" spans="2:17" ht="15.75">
      <c r="B94" s="46"/>
      <c r="D94" s="46" t="s">
        <v>57</v>
      </c>
      <c r="E94" s="47"/>
      <c r="F94" s="47"/>
      <c r="G94" s="23"/>
      <c r="H94" s="37"/>
      <c r="I94" s="23"/>
      <c r="J94" s="27" t="s">
        <v>44</v>
      </c>
      <c r="K94" s="27">
        <v>1</v>
      </c>
      <c r="L94" s="27" t="s">
        <v>58</v>
      </c>
      <c r="M94" s="27" t="s">
        <v>54</v>
      </c>
      <c r="N94" s="48" t="s">
        <v>173</v>
      </c>
      <c r="O94" s="49" t="s">
        <v>174</v>
      </c>
      <c r="P94" s="20" t="s">
        <v>175</v>
      </c>
      <c r="Q94" s="26">
        <f t="shared" si="1"/>
        <v>9005</v>
      </c>
    </row>
    <row r="95" spans="2:17" ht="15.75">
      <c r="B95" s="46"/>
      <c r="D95" s="46" t="s">
        <v>57</v>
      </c>
      <c r="E95" s="47"/>
      <c r="F95" s="47"/>
      <c r="G95" s="23"/>
      <c r="H95" s="37"/>
      <c r="I95" s="23"/>
      <c r="J95" s="27" t="s">
        <v>44</v>
      </c>
      <c r="K95" s="27">
        <v>1</v>
      </c>
      <c r="L95" s="27" t="s">
        <v>41</v>
      </c>
      <c r="M95" s="27" t="s">
        <v>54</v>
      </c>
      <c r="N95" s="48" t="s">
        <v>176</v>
      </c>
      <c r="O95" s="49" t="s">
        <v>177</v>
      </c>
      <c r="P95" s="20" t="s">
        <v>178</v>
      </c>
      <c r="Q95" s="26">
        <f t="shared" si="1"/>
        <v>9007</v>
      </c>
    </row>
    <row r="96" spans="2:17" ht="15.75">
      <c r="B96" s="46"/>
      <c r="D96" s="46" t="s">
        <v>57</v>
      </c>
      <c r="E96" s="47"/>
      <c r="F96" s="47"/>
      <c r="G96" s="23"/>
      <c r="H96" s="37"/>
      <c r="I96" s="23"/>
      <c r="J96" s="27" t="s">
        <v>44</v>
      </c>
      <c r="K96" s="27">
        <v>1</v>
      </c>
      <c r="L96" s="27" t="s">
        <v>36</v>
      </c>
      <c r="M96" s="27" t="s">
        <v>54</v>
      </c>
      <c r="N96" s="48" t="s">
        <v>155</v>
      </c>
      <c r="O96" s="49" t="s">
        <v>179</v>
      </c>
      <c r="P96" s="20" t="s">
        <v>180</v>
      </c>
      <c r="Q96" s="26">
        <f t="shared" si="1"/>
        <v>9008</v>
      </c>
    </row>
    <row r="97" spans="2:18" ht="15.75">
      <c r="B97" s="46"/>
      <c r="D97" s="46" t="s">
        <v>57</v>
      </c>
      <c r="E97" s="47"/>
      <c r="F97" s="47"/>
      <c r="G97" s="23"/>
      <c r="H97" s="37"/>
      <c r="I97" s="23"/>
      <c r="J97" s="27" t="s">
        <v>44</v>
      </c>
      <c r="K97" s="27">
        <v>1</v>
      </c>
      <c r="L97" s="27" t="s">
        <v>49</v>
      </c>
      <c r="M97" s="27" t="s">
        <v>54</v>
      </c>
      <c r="N97" s="48" t="s">
        <v>155</v>
      </c>
      <c r="O97" s="49" t="s">
        <v>181</v>
      </c>
      <c r="P97" s="20" t="s">
        <v>182</v>
      </c>
      <c r="Q97" s="26">
        <f t="shared" si="1"/>
        <v>9006</v>
      </c>
    </row>
    <row r="98" spans="2:18" ht="15.75">
      <c r="B98" s="46"/>
      <c r="D98" s="46" t="s">
        <v>57</v>
      </c>
      <c r="E98" s="47"/>
      <c r="F98" s="47"/>
      <c r="G98" s="23"/>
      <c r="H98" s="37"/>
      <c r="I98" s="23"/>
      <c r="J98" s="27" t="s">
        <v>44</v>
      </c>
      <c r="K98" s="27">
        <v>1</v>
      </c>
      <c r="L98" s="27" t="s">
        <v>94</v>
      </c>
      <c r="M98" s="27" t="s">
        <v>54</v>
      </c>
      <c r="N98" s="48" t="s">
        <v>155</v>
      </c>
      <c r="O98" s="49" t="s">
        <v>183</v>
      </c>
      <c r="P98" s="20" t="s">
        <v>95</v>
      </c>
      <c r="Q98" s="26">
        <f t="shared" si="1"/>
        <v>9016</v>
      </c>
    </row>
    <row r="99" spans="2:18" ht="15.75">
      <c r="B99" s="46"/>
      <c r="D99" s="46" t="s">
        <v>57</v>
      </c>
      <c r="E99" s="47"/>
      <c r="F99" s="47"/>
      <c r="G99" s="23"/>
      <c r="H99" s="37"/>
      <c r="I99" s="23"/>
      <c r="J99" s="27" t="s">
        <v>41</v>
      </c>
      <c r="K99" s="27">
        <v>1</v>
      </c>
      <c r="L99" s="27" t="s">
        <v>72</v>
      </c>
      <c r="M99" s="27" t="s">
        <v>42</v>
      </c>
      <c r="N99" s="48" t="s">
        <v>155</v>
      </c>
      <c r="O99" s="49" t="s">
        <v>184</v>
      </c>
      <c r="P99" s="20" t="s">
        <v>185</v>
      </c>
      <c r="Q99" s="26">
        <f t="shared" si="1"/>
        <v>7014</v>
      </c>
    </row>
    <row r="100" spans="2:18" ht="15.75">
      <c r="B100" s="46"/>
      <c r="D100" s="46" t="s">
        <v>57</v>
      </c>
      <c r="E100" s="47"/>
      <c r="F100" s="47"/>
      <c r="G100" s="23"/>
      <c r="H100" s="37"/>
      <c r="I100" s="23"/>
      <c r="J100" s="27" t="s">
        <v>41</v>
      </c>
      <c r="K100" s="27">
        <v>1</v>
      </c>
      <c r="L100" s="27" t="s">
        <v>62</v>
      </c>
      <c r="M100" s="27" t="s">
        <v>42</v>
      </c>
      <c r="N100" s="50" t="s">
        <v>170</v>
      </c>
      <c r="O100" s="49" t="s">
        <v>186</v>
      </c>
      <c r="P100" s="20" t="s">
        <v>74</v>
      </c>
      <c r="Q100" s="26">
        <f t="shared" si="1"/>
        <v>7017</v>
      </c>
    </row>
    <row r="101" spans="2:18" ht="15.75">
      <c r="B101" s="46"/>
      <c r="D101" s="46" t="s">
        <v>57</v>
      </c>
      <c r="E101" s="47"/>
      <c r="F101" s="47"/>
      <c r="G101" s="23"/>
      <c r="H101" s="37"/>
      <c r="I101" s="23"/>
      <c r="J101" s="27" t="s">
        <v>49</v>
      </c>
      <c r="K101" s="27">
        <v>1</v>
      </c>
      <c r="L101" s="27" t="s">
        <v>46</v>
      </c>
      <c r="M101" s="27" t="s">
        <v>79</v>
      </c>
      <c r="N101" s="50" t="s">
        <v>187</v>
      </c>
      <c r="O101" s="49" t="s">
        <v>188</v>
      </c>
      <c r="P101" s="20" t="s">
        <v>189</v>
      </c>
      <c r="Q101" s="26">
        <f t="shared" si="1"/>
        <v>6010</v>
      </c>
    </row>
    <row r="102" spans="2:18" ht="15.75">
      <c r="B102" s="46"/>
      <c r="D102" s="46" t="s">
        <v>57</v>
      </c>
      <c r="E102" s="47"/>
      <c r="F102" s="47"/>
      <c r="G102" s="23"/>
      <c r="H102" s="37"/>
      <c r="I102" s="23"/>
      <c r="J102" s="27" t="s">
        <v>64</v>
      </c>
      <c r="K102" s="27">
        <v>1</v>
      </c>
      <c r="L102" s="27" t="s">
        <v>44</v>
      </c>
      <c r="M102" s="27" t="s">
        <v>83</v>
      </c>
      <c r="N102" s="50" t="s">
        <v>190</v>
      </c>
      <c r="O102" s="49" t="s">
        <v>191</v>
      </c>
      <c r="P102" s="20" t="s">
        <v>192</v>
      </c>
      <c r="Q102" s="26">
        <f t="shared" si="1"/>
        <v>18009</v>
      </c>
      <c r="R102" s="51"/>
    </row>
    <row r="103" spans="2:18" ht="15.75">
      <c r="B103" s="46"/>
      <c r="D103" s="46" t="s">
        <v>57</v>
      </c>
      <c r="E103" s="47"/>
      <c r="F103" s="47"/>
      <c r="G103" s="23"/>
      <c r="H103" s="37"/>
      <c r="I103" s="23"/>
      <c r="J103" s="27" t="s">
        <v>64</v>
      </c>
      <c r="K103" s="27">
        <v>1</v>
      </c>
      <c r="L103" s="27" t="s">
        <v>46</v>
      </c>
      <c r="M103" s="27" t="s">
        <v>83</v>
      </c>
      <c r="N103" s="50" t="s">
        <v>193</v>
      </c>
      <c r="O103" s="49" t="s">
        <v>194</v>
      </c>
      <c r="P103" s="20" t="s">
        <v>195</v>
      </c>
      <c r="Q103" s="26">
        <f t="shared" si="1"/>
        <v>18010</v>
      </c>
      <c r="R103" s="51"/>
    </row>
    <row r="104" spans="2:18" ht="15.75">
      <c r="B104" s="46"/>
      <c r="D104" s="46" t="s">
        <v>57</v>
      </c>
      <c r="E104" s="47"/>
      <c r="F104" s="47"/>
      <c r="G104" s="23"/>
      <c r="H104" s="37"/>
      <c r="I104" s="23"/>
      <c r="J104" s="27" t="s">
        <v>49</v>
      </c>
      <c r="K104" s="27">
        <v>2</v>
      </c>
      <c r="L104" s="27" t="s">
        <v>46</v>
      </c>
      <c r="M104" s="27" t="s">
        <v>79</v>
      </c>
      <c r="N104" s="50" t="s">
        <v>187</v>
      </c>
      <c r="O104" s="49" t="s">
        <v>196</v>
      </c>
      <c r="P104" s="20" t="s">
        <v>197</v>
      </c>
      <c r="Q104" s="26">
        <f t="shared" si="1"/>
        <v>6010</v>
      </c>
      <c r="R104" s="32"/>
    </row>
    <row r="105" spans="2:18" ht="15.75">
      <c r="B105" s="46"/>
      <c r="C105" s="40"/>
      <c r="D105" s="46" t="s">
        <v>57</v>
      </c>
      <c r="E105" s="47"/>
      <c r="F105" s="47"/>
      <c r="G105" s="23"/>
      <c r="H105" s="38"/>
      <c r="I105" s="34"/>
      <c r="J105" s="27" t="s">
        <v>72</v>
      </c>
      <c r="K105" s="27">
        <v>1</v>
      </c>
      <c r="L105" s="27" t="s">
        <v>58</v>
      </c>
      <c r="M105" s="27" t="s">
        <v>104</v>
      </c>
      <c r="N105" s="52" t="s">
        <v>198</v>
      </c>
      <c r="O105" s="53" t="s">
        <v>199</v>
      </c>
      <c r="P105" s="40" t="s">
        <v>200</v>
      </c>
      <c r="Q105" s="26">
        <f t="shared" si="1"/>
        <v>14005</v>
      </c>
    </row>
    <row r="106" spans="2:18" ht="15.75">
      <c r="B106" s="46"/>
      <c r="C106" s="40"/>
      <c r="D106" s="46" t="s">
        <v>57</v>
      </c>
      <c r="E106" s="47"/>
      <c r="F106" s="47"/>
      <c r="G106" s="23"/>
      <c r="H106" s="38"/>
      <c r="I106" s="34"/>
      <c r="J106" s="27" t="s">
        <v>72</v>
      </c>
      <c r="K106" s="27">
        <v>2</v>
      </c>
      <c r="L106" s="27" t="s">
        <v>58</v>
      </c>
      <c r="M106" s="27" t="s">
        <v>104</v>
      </c>
      <c r="N106" s="52" t="s">
        <v>201</v>
      </c>
      <c r="O106" s="53" t="s">
        <v>202</v>
      </c>
      <c r="P106" s="40" t="s">
        <v>203</v>
      </c>
      <c r="Q106" s="26">
        <f t="shared" si="1"/>
        <v>14005</v>
      </c>
    </row>
    <row r="107" spans="2:18" ht="15.75">
      <c r="B107" s="46"/>
      <c r="C107" s="40"/>
      <c r="D107" s="46" t="s">
        <v>57</v>
      </c>
      <c r="E107" s="47"/>
      <c r="F107" s="47"/>
      <c r="G107" s="23"/>
      <c r="H107" s="38"/>
      <c r="I107" s="34"/>
      <c r="J107" s="27" t="s">
        <v>62</v>
      </c>
      <c r="K107" s="27">
        <v>255</v>
      </c>
      <c r="L107" s="27" t="s">
        <v>21</v>
      </c>
      <c r="M107" s="27" t="s">
        <v>100</v>
      </c>
      <c r="N107" s="52">
        <v>1</v>
      </c>
      <c r="O107" s="53" t="s">
        <v>204</v>
      </c>
      <c r="P107" s="20" t="s">
        <v>205</v>
      </c>
      <c r="Q107" s="26">
        <f t="shared" si="1"/>
        <v>17001</v>
      </c>
    </row>
  </sheetData>
  <mergeCells count="36">
    <mergeCell ref="E68:E72"/>
    <mergeCell ref="F68:F72"/>
    <mergeCell ref="H68:H70"/>
    <mergeCell ref="H71:H72"/>
    <mergeCell ref="E76:E107"/>
    <mergeCell ref="F76:F107"/>
    <mergeCell ref="E44:E50"/>
    <mergeCell ref="F44:F50"/>
    <mergeCell ref="H44:H50"/>
    <mergeCell ref="E60:E66"/>
    <mergeCell ref="F60:F65"/>
    <mergeCell ref="H60:H66"/>
    <mergeCell ref="E31:E34"/>
    <mergeCell ref="F31:F34"/>
    <mergeCell ref="H31:H34"/>
    <mergeCell ref="E36:E42"/>
    <mergeCell ref="F36:F42"/>
    <mergeCell ref="H36:H42"/>
    <mergeCell ref="E22:E26"/>
    <mergeCell ref="F22:F26"/>
    <mergeCell ref="H22:H26"/>
    <mergeCell ref="E28:E29"/>
    <mergeCell ref="F28:F29"/>
    <mergeCell ref="H28:H29"/>
    <mergeCell ref="E9:E17"/>
    <mergeCell ref="F9:F17"/>
    <mergeCell ref="H9:H17"/>
    <mergeCell ref="E19:E20"/>
    <mergeCell ref="F19:F20"/>
    <mergeCell ref="H19:H20"/>
    <mergeCell ref="E2:E4"/>
    <mergeCell ref="F2:F4"/>
    <mergeCell ref="H2:H4"/>
    <mergeCell ref="E6:E7"/>
    <mergeCell ref="F6:F7"/>
    <mergeCell ref="H6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 Express Menus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Wattson</dc:creator>
  <cp:lastModifiedBy>Thomas Wattson</cp:lastModifiedBy>
  <dcterms:created xsi:type="dcterms:W3CDTF">2021-03-23T15:17:27Z</dcterms:created>
  <dcterms:modified xsi:type="dcterms:W3CDTF">2021-03-23T15:18:02Z</dcterms:modified>
</cp:coreProperties>
</file>